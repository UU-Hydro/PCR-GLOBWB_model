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dwin\github\edwinkost\PCR-GLOBWB_model\testing_with_lue\results\2025-03-14\"/>
    </mc:Choice>
  </mc:AlternateContent>
  <xr:revisionPtr revIDLastSave="0" documentId="13_ncr:9_{25363F36-5B78-4696-825C-F43F45FFDF69}" xr6:coauthVersionLast="47" xr6:coauthVersionMax="47" xr10:uidLastSave="{00000000-0000-0000-0000-000000000000}"/>
  <bookViews>
    <workbookView xWindow="-120" yWindow="-120" windowWidth="29040" windowHeight="15840" activeTab="1" xr2:uid="{35F11054-5758-4EC2-9160-A90ACC88C197}"/>
  </bookViews>
  <sheets>
    <sheet name="log_last_100_comparison" sheetId="1" r:id="rId1"/>
    <sheet name="comparison" sheetId="2" r:id="rId2"/>
  </sheets>
  <calcPr calcId="0"/>
</workbook>
</file>

<file path=xl/calcChain.xml><?xml version="1.0" encoding="utf-8"?>
<calcChain xmlns="http://schemas.openxmlformats.org/spreadsheetml/2006/main">
  <c r="D19" i="2" l="1"/>
  <c r="E19" i="2" s="1"/>
  <c r="D35" i="2"/>
  <c r="E35" i="2" s="1"/>
  <c r="D39" i="2"/>
  <c r="E39" i="2" s="1"/>
  <c r="D47" i="2"/>
  <c r="E47" i="2" s="1"/>
  <c r="D51" i="2"/>
  <c r="E51" i="2" s="1"/>
  <c r="B57" i="2"/>
  <c r="B58" i="2"/>
  <c r="B59" i="2"/>
  <c r="B60" i="2"/>
  <c r="D60" i="2" s="1"/>
  <c r="E60" i="2" s="1"/>
  <c r="C3" i="2"/>
  <c r="C4" i="2"/>
  <c r="D4" i="2" s="1"/>
  <c r="E4" i="2" s="1"/>
  <c r="C5" i="2"/>
  <c r="D5" i="2" s="1"/>
  <c r="E5" i="2" s="1"/>
  <c r="C6" i="2"/>
  <c r="D6" i="2" s="1"/>
  <c r="E6" i="2" s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D20" i="2" s="1"/>
  <c r="E20" i="2" s="1"/>
  <c r="C21" i="2"/>
  <c r="D21" i="2" s="1"/>
  <c r="E21" i="2" s="1"/>
  <c r="C22" i="2"/>
  <c r="D22" i="2" s="1"/>
  <c r="E22" i="2" s="1"/>
  <c r="C23" i="2"/>
  <c r="D23" i="2" s="1"/>
  <c r="E23" i="2" s="1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D36" i="2" s="1"/>
  <c r="E36" i="2" s="1"/>
  <c r="C37" i="2"/>
  <c r="D37" i="2" s="1"/>
  <c r="E37" i="2" s="1"/>
  <c r="C38" i="2"/>
  <c r="D38" i="2" s="1"/>
  <c r="E38" i="2" s="1"/>
  <c r="C39" i="2"/>
  <c r="C40" i="2"/>
  <c r="C41" i="2"/>
  <c r="C42" i="2"/>
  <c r="C43" i="2"/>
  <c r="C44" i="2"/>
  <c r="D44" i="2" s="1"/>
  <c r="E44" i="2" s="1"/>
  <c r="C45" i="2"/>
  <c r="C46" i="2"/>
  <c r="C47" i="2"/>
  <c r="C48" i="2"/>
  <c r="C49" i="2"/>
  <c r="C50" i="2"/>
  <c r="C51" i="2"/>
  <c r="C52" i="2"/>
  <c r="D52" i="2" s="1"/>
  <c r="E52" i="2" s="1"/>
  <c r="C53" i="2"/>
  <c r="D53" i="2" s="1"/>
  <c r="E53" i="2" s="1"/>
  <c r="C54" i="2"/>
  <c r="D54" i="2" s="1"/>
  <c r="E54" i="2" s="1"/>
  <c r="C55" i="2"/>
  <c r="C56" i="2"/>
  <c r="C57" i="2"/>
  <c r="C58" i="2"/>
  <c r="D58" i="2" s="1"/>
  <c r="E58" i="2" s="1"/>
  <c r="C59" i="2"/>
  <c r="C60" i="2"/>
  <c r="B3" i="2"/>
  <c r="D3" i="2" s="1"/>
  <c r="E3" i="2" s="1"/>
  <c r="B4" i="2"/>
  <c r="B5" i="2"/>
  <c r="B6" i="2"/>
  <c r="B7" i="2"/>
  <c r="D7" i="2" s="1"/>
  <c r="E7" i="2" s="1"/>
  <c r="B8" i="2"/>
  <c r="B9" i="2"/>
  <c r="B10" i="2"/>
  <c r="B11" i="2"/>
  <c r="B12" i="2"/>
  <c r="D12" i="2" s="1"/>
  <c r="E12" i="2" s="1"/>
  <c r="B13" i="2"/>
  <c r="D13" i="2" s="1"/>
  <c r="E13" i="2" s="1"/>
  <c r="B14" i="2"/>
  <c r="D14" i="2" s="1"/>
  <c r="E14" i="2" s="1"/>
  <c r="B15" i="2"/>
  <c r="D15" i="2" s="1"/>
  <c r="E15" i="2" s="1"/>
  <c r="B16" i="2"/>
  <c r="D16" i="2" s="1"/>
  <c r="E16" i="2" s="1"/>
  <c r="B17" i="2"/>
  <c r="D17" i="2" s="1"/>
  <c r="E17" i="2" s="1"/>
  <c r="B18" i="2"/>
  <c r="B19" i="2"/>
  <c r="B20" i="2"/>
  <c r="B21" i="2"/>
  <c r="B22" i="2"/>
  <c r="B23" i="2"/>
  <c r="B24" i="2"/>
  <c r="B25" i="2"/>
  <c r="B26" i="2"/>
  <c r="B27" i="2"/>
  <c r="B28" i="2"/>
  <c r="D28" i="2" s="1"/>
  <c r="E28" i="2" s="1"/>
  <c r="B29" i="2"/>
  <c r="D29" i="2" s="1"/>
  <c r="E29" i="2" s="1"/>
  <c r="B30" i="2"/>
  <c r="D30" i="2" s="1"/>
  <c r="E30" i="2" s="1"/>
  <c r="B31" i="2"/>
  <c r="D31" i="2" s="1"/>
  <c r="E31" i="2" s="1"/>
  <c r="B32" i="2"/>
  <c r="D32" i="2" s="1"/>
  <c r="E32" i="2" s="1"/>
  <c r="B33" i="2"/>
  <c r="D33" i="2" s="1"/>
  <c r="E33" i="2" s="1"/>
  <c r="B34" i="2"/>
  <c r="B35" i="2"/>
  <c r="B36" i="2"/>
  <c r="B37" i="2"/>
  <c r="B38" i="2"/>
  <c r="B39" i="2"/>
  <c r="B40" i="2"/>
  <c r="B41" i="2"/>
  <c r="B42" i="2"/>
  <c r="B43" i="2"/>
  <c r="B44" i="2"/>
  <c r="B45" i="2"/>
  <c r="D45" i="2" s="1"/>
  <c r="E45" i="2" s="1"/>
  <c r="B46" i="2"/>
  <c r="D46" i="2" s="1"/>
  <c r="E46" i="2" s="1"/>
  <c r="B47" i="2"/>
  <c r="B48" i="2"/>
  <c r="D48" i="2" s="1"/>
  <c r="E48" i="2" s="1"/>
  <c r="B49" i="2"/>
  <c r="D49" i="2" s="1"/>
  <c r="E49" i="2" s="1"/>
  <c r="B50" i="2"/>
  <c r="B51" i="2"/>
  <c r="B52" i="2"/>
  <c r="B53" i="2"/>
  <c r="B54" i="2"/>
  <c r="B55" i="2"/>
  <c r="D55" i="2" s="1"/>
  <c r="E55" i="2" s="1"/>
  <c r="B56" i="2"/>
  <c r="C2" i="2"/>
  <c r="B2" i="2"/>
  <c r="D2" i="2" s="1"/>
  <c r="E2" i="2" s="1"/>
  <c r="A59" i="2"/>
  <c r="A60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2" i="2"/>
  <c r="D43" i="2" l="1"/>
  <c r="E43" i="2" s="1"/>
  <c r="D27" i="2"/>
  <c r="E27" i="2" s="1"/>
  <c r="D11" i="2"/>
  <c r="E11" i="2" s="1"/>
  <c r="D10" i="2"/>
  <c r="E10" i="2" s="1"/>
  <c r="D41" i="2"/>
  <c r="E41" i="2" s="1"/>
  <c r="D25" i="2"/>
  <c r="E25" i="2" s="1"/>
  <c r="D9" i="2"/>
  <c r="E9" i="2" s="1"/>
  <c r="D42" i="2"/>
  <c r="E42" i="2" s="1"/>
  <c r="D56" i="2"/>
  <c r="E56" i="2" s="1"/>
  <c r="D40" i="2"/>
  <c r="E40" i="2" s="1"/>
  <c r="D24" i="2"/>
  <c r="E24" i="2" s="1"/>
  <c r="D8" i="2"/>
  <c r="E8" i="2" s="1"/>
  <c r="D50" i="2"/>
  <c r="E50" i="2" s="1"/>
  <c r="D34" i="2"/>
  <c r="E34" i="2" s="1"/>
  <c r="D18" i="2"/>
  <c r="E18" i="2" s="1"/>
  <c r="D59" i="2"/>
  <c r="E59" i="2" s="1"/>
  <c r="D26" i="2"/>
  <c r="E26" i="2" s="1"/>
  <c r="D57" i="2"/>
  <c r="E57" i="2" s="1"/>
</calcChain>
</file>

<file path=xl/sharedStrings.xml><?xml version="1.0" encoding="utf-8"?>
<sst xmlns="http://schemas.openxmlformats.org/spreadsheetml/2006/main" count="1995" uniqueCount="366">
  <si>
    <t>&gt;</t>
  </si>
  <si>
    <t>/scratch/sutan101/test_pgb_for_lue_development_no_window_zonal/lue/log/setup_30min_on_velocity_for_lue.ini_2025-03-06T11.55.42.217080.log</t>
  </si>
  <si>
    <t>&lt;</t>
  </si>
  <si>
    <t>12:59:10,429</t>
  </si>
  <si>
    <t>virtualOS</t>
  </si>
  <si>
    <t>DEBUG</t>
  </si>
  <si>
    <t>Writing</t>
  </si>
  <si>
    <t>a</t>
  </si>
  <si>
    <t>pcraster</t>
  </si>
  <si>
    <t>map</t>
  </si>
  <si>
    <t>to</t>
  </si>
  <si>
    <t>:</t>
  </si>
  <si>
    <t>/scratch/sutan101/test_pgb_for_lue_development_no_window_zonal/lue/states/topWaterLayer_forest_2000-12-31.map</t>
  </si>
  <si>
    <t>12:59:10,438</t>
  </si>
  <si>
    <t>/scratch/sutan101/test_pgb_for_lue_development_no_window_zonal/lue/states/storUpp_forest_2000-12-31.map</t>
  </si>
  <si>
    <t>12:59:10,447</t>
  </si>
  <si>
    <t>/scratch/sutan101/test_pgb_for_lue_development_no_window_zonal/lue/states/storLow_forest_2000-12-31.map</t>
  </si>
  <si>
    <t>12:59:10,456</t>
  </si>
  <si>
    <t>/scratch/sutan101/test_pgb_for_lue_development_no_window_zonal/lue/states/interflow_forest_2000-12-31.map</t>
  </si>
  <si>
    <t>12:59:10,464</t>
  </si>
  <si>
    <t>/scratch/sutan101/test_pgb_for_lue_development_no_window_zonal/lue/states/interceptStor_grassland_2000-12-31.map</t>
  </si>
  <si>
    <t>12:59:10,472</t>
  </si>
  <si>
    <t>/scratch/sutan101/test_pgb_for_lue_development_no_window_zonal/lue/states/snowCoverSWE_grassland_2000-12-31.map</t>
  </si>
  <si>
    <t>12:59:10,480</t>
  </si>
  <si>
    <t>/scratch/sutan101/test_pgb_for_lue_development_no_window_zonal/lue/states/snowFreeWater_grassland_2000-12-31.map</t>
  </si>
  <si>
    <t>12:59:10,490</t>
  </si>
  <si>
    <t>/scratch/sutan101/test_pgb_for_lue_development_no_window_zonal/lue/states/topWaterLayer_grassland_2000-12-31.map</t>
  </si>
  <si>
    <t>12:59:10,499</t>
  </si>
  <si>
    <t>/scratch/sutan101/test_pgb_for_lue_development_no_window_zonal/lue/states/storUpp_grassland_2000-12-31.map</t>
  </si>
  <si>
    <t>12:59:10,509</t>
  </si>
  <si>
    <t>/scratch/sutan101/test_pgb_for_lue_development_no_window_zonal/lue/states/storLow_grassland_2000-12-31.map</t>
  </si>
  <si>
    <t>12:59:10,517</t>
  </si>
  <si>
    <t>/scratch/sutan101/test_pgb_for_lue_development_no_window_zonal/lue/states/interflow_grassland_2000-12-31.map</t>
  </si>
  <si>
    <t>12:59:10,525</t>
  </si>
  <si>
    <t>/scratch/sutan101/test_pgb_for_lue_development_no_window_zonal/lue/states/storGroundwater_2000-12-31.map</t>
  </si>
  <si>
    <t>12:59:10,534</t>
  </si>
  <si>
    <t>/scratch/sutan101/test_pgb_for_lue_development_no_window_zonal/lue/states/storGroundwaterFossil_2000-12-31.map</t>
  </si>
  <si>
    <t>12:59:10,543</t>
  </si>
  <si>
    <t>/scratch/sutan101/test_pgb_for_lue_development_no_window_zonal/lue/states/avgTotalGroundwaterAbstraction_2000-12-31.map</t>
  </si>
  <si>
    <t>12:59:10,551</t>
  </si>
  <si>
    <t>/scratch/sutan101/test_pgb_for_lue_development_no_window_zonal/lue/states/avgTotalGroundwaterAllocationLong_2000-12-31.map</t>
  </si>
  <si>
    <t>12:59:10,558</t>
  </si>
  <si>
    <t>/scratch/sutan101/test_pgb_for_lue_development_no_window_zonal/lue/states/avgTotalGroundwaterAllocationShort_2000-12-31.map</t>
  </si>
  <si>
    <t>12:59:10,567</t>
  </si>
  <si>
    <t>/scratch/sutan101/test_pgb_for_lue_development_no_window_zonal/lue/states/avgNonFossilGroundwaterAllocationLong_2000-12-31.map</t>
  </si>
  <si>
    <t>12:59:10,575</t>
  </si>
  <si>
    <t>/scratch/sutan101/test_pgb_for_lue_development_no_window_zonal/lue/states/avgNonFossilGroundwaterAllocationShort_2000-12-31.map</t>
  </si>
  <si>
    <t>12:59:10,583</t>
  </si>
  <si>
    <t>/scratch/sutan101/test_pgb_for_lue_development_no_window_zonal/lue/states/avgStorGroundwater_2000-12-31.map</t>
  </si>
  <si>
    <t>12:59:10,591</t>
  </si>
  <si>
    <t>/scratch/sutan101/test_pgb_for_lue_development_no_window_zonal/lue/states/relativeGroundwaterHead_2000-12-31.map</t>
  </si>
  <si>
    <t>12:59:10,600</t>
  </si>
  <si>
    <t>/scratch/sutan101/test_pgb_for_lue_development_no_window_zonal/lue/states/baseflow_2000-12-31.map</t>
  </si>
  <si>
    <t>12:59:10,608</t>
  </si>
  <si>
    <t>/scratch/sutan101/test_pgb_for_lue_development_no_window_zonal/lue/states/timestepsToAvgDischarge_2000-12-31.map</t>
  </si>
  <si>
    <t>12:59:10,617</t>
  </si>
  <si>
    <t>/scratch/sutan101/test_pgb_for_lue_development_no_window_zonal/lue/states/channelStorage_2000-12-31.map</t>
  </si>
  <si>
    <t>12:59:10,625</t>
  </si>
  <si>
    <t>/scratch/sutan101/test_pgb_for_lue_development_no_window_zonal/lue/states/readAvlChannelStorage_2000-12-31.map</t>
  </si>
  <si>
    <t>12:59:10,633</t>
  </si>
  <si>
    <t>/scratch/sutan101/test_pgb_for_lue_development_no_window_zonal/lue/states/avgDischargeLong_2000-12-31.map</t>
  </si>
  <si>
    <t>12:59:10,642</t>
  </si>
  <si>
    <t>/scratch/sutan101/test_pgb_for_lue_development_no_window_zonal/lue/states/m2tDischargeLong_2000-12-31.map</t>
  </si>
  <si>
    <t>12:59:10,653</t>
  </si>
  <si>
    <t>/scratch/sutan101/test_pgb_for_lue_development_no_window_zonal/lue/states/avgBaseflowLong_2000-12-31.map</t>
  </si>
  <si>
    <t>12:59:10,662</t>
  </si>
  <si>
    <t>/scratch/sutan101/test_pgb_for_lue_development_no_window_zonal/lue/states/riverbedExchange_2000-12-31.map</t>
  </si>
  <si>
    <t>12:59:10,671</t>
  </si>
  <si>
    <t>/scratch/sutan101/test_pgb_for_lue_development_no_window_zonal/lue/states/waterBodyStorage_2000-12-31.map</t>
  </si>
  <si>
    <t>12:59:10,680</t>
  </si>
  <si>
    <t>/scratch/sutan101/test_pgb_for_lue_development_no_window_zonal/lue/states/avgLakeReservoirOutflowLong_2000-12-31.map</t>
  </si>
  <si>
    <t>12:59:10,689</t>
  </si>
  <si>
    <t>/scratch/sutan101/test_pgb_for_lue_development_no_window_zonal/lue/states/avgLakeReservoirInflowShort_2000-12-31.map</t>
  </si>
  <si>
    <t>12:59:10,698</t>
  </si>
  <si>
    <t>/scratch/sutan101/test_pgb_for_lue_development_no_window_zonal/lue/states/avgDischargeShort_2000-12-31.map</t>
  </si>
  <si>
    <t>12:59:10,707</t>
  </si>
  <si>
    <t>/scratch/sutan101/test_pgb_for_lue_development_no_window_zonal/lue/states/subDischarge_2000-12-31.map</t>
  </si>
  <si>
    <t>12:59:10,736</t>
  </si>
  <si>
    <t>pcrglobwb</t>
  </si>
  <si>
    <t>INFO</t>
  </si>
  <si>
    <t>The</t>
  </si>
  <si>
    <t>following</t>
  </si>
  <si>
    <t>summary</t>
  </si>
  <si>
    <t>values</t>
  </si>
  <si>
    <t>do</t>
  </si>
  <si>
    <t>not</t>
  </si>
  <si>
    <t>include</t>
  </si>
  <si>
    <t>storages</t>
  </si>
  <si>
    <t>in</t>
  </si>
  <si>
    <t>surface</t>
  </si>
  <si>
    <t>water</t>
  </si>
  <si>
    <t>bodies</t>
  </si>
  <si>
    <t>(lake,</t>
  </si>
  <si>
    <t>reservoir</t>
  </si>
  <si>
    <t>and</t>
  </si>
  <si>
    <t>channel</t>
  </si>
  <si>
    <t>storages).</t>
  </si>
  <si>
    <t>12:59:10,762</t>
  </si>
  <si>
    <t>Total</t>
  </si>
  <si>
    <t>area</t>
  </si>
  <si>
    <t>km2</t>
  </si>
  <si>
    <t>12:59:10,766</t>
  </si>
  <si>
    <t>Delta</t>
  </si>
  <si>
    <t>total</t>
  </si>
  <si>
    <t>storage</t>
  </si>
  <si>
    <t>days</t>
  </si>
  <si>
    <t>km3</t>
  </si>
  <si>
    <t>mm</t>
  </si>
  <si>
    <t>12:59:10,769</t>
  </si>
  <si>
    <t>Accumulated</t>
  </si>
  <si>
    <t>precipitation</t>
  </si>
  <si>
    <t>12:59:10,771</t>
  </si>
  <si>
    <t>baseflow</t>
  </si>
  <si>
    <t>12:59:10,772</t>
  </si>
  <si>
    <t>surfaceWaterInf</t>
  </si>
  <si>
    <t>12:59:10,773</t>
  </si>
  <si>
    <t>runoff</t>
  </si>
  <si>
    <t>12:59:10,774</t>
  </si>
  <si>
    <t>unmetDemand</t>
  </si>
  <si>
    <t>12:59:10,775</t>
  </si>
  <si>
    <t>infiltration</t>
  </si>
  <si>
    <t>12:59:10,776</t>
  </si>
  <si>
    <t>gwRecharge</t>
  </si>
  <si>
    <t>12:59:10,777</t>
  </si>
  <si>
    <t>netLqWaterToSoil</t>
  </si>
  <si>
    <t>12:59:10,778</t>
  </si>
  <si>
    <t>totalPotET</t>
  </si>
  <si>
    <t>12:59:10,779</t>
  </si>
  <si>
    <t>actualET</t>
  </si>
  <si>
    <t>12:59:10,780</t>
  </si>
  <si>
    <t>interceptEvap</t>
  </si>
  <si>
    <t>12:59:10,781</t>
  </si>
  <si>
    <t>openWaterEvap</t>
  </si>
  <si>
    <t>12:59:10,782</t>
  </si>
  <si>
    <t>actSnowFreeWaterEvap</t>
  </si>
  <si>
    <t>12:59:10,783</t>
  </si>
  <si>
    <t>actBareSoilEvap</t>
  </si>
  <si>
    <t>12:59:10,784</t>
  </si>
  <si>
    <t>actTranspiUppTotal</t>
  </si>
  <si>
    <t>12:59:10,785</t>
  </si>
  <si>
    <t>actTranspiLowTotal</t>
  </si>
  <si>
    <t>12:59:10,786</t>
  </si>
  <si>
    <t>actTranspiTotal</t>
  </si>
  <si>
    <t>12:59:10,787</t>
  </si>
  <si>
    <t>directRunoff</t>
  </si>
  <si>
    <t>12:59:10,788</t>
  </si>
  <si>
    <t>interflow</t>
  </si>
  <si>
    <t>12:59:10,789</t>
  </si>
  <si>
    <t>interflowTotal</t>
  </si>
  <si>
    <t>12:59:10,790</t>
  </si>
  <si>
    <t>irrGrossDemand</t>
  </si>
  <si>
    <t>12:59:10,791</t>
  </si>
  <si>
    <t>nonIrrGrossDemand</t>
  </si>
  <si>
    <t>12:59:10,792</t>
  </si>
  <si>
    <t>totalPotentialGrossDemand</t>
  </si>
  <si>
    <t>12:59:10,793</t>
  </si>
  <si>
    <t>actSurfaceWaterAbstract</t>
  </si>
  <si>
    <t>12:59:10,794</t>
  </si>
  <si>
    <t>allocSurfaceWaterAbstract</t>
  </si>
  <si>
    <t>12:59:10,795</t>
  </si>
  <si>
    <t>desalinationAbstraction</t>
  </si>
  <si>
    <t>12:59:10,796</t>
  </si>
  <si>
    <t>desalinationAllocation</t>
  </si>
  <si>
    <t>12:59:10,797</t>
  </si>
  <si>
    <t>nonFossilGroundwaterAbs</t>
  </si>
  <si>
    <t>12:59:10,798</t>
  </si>
  <si>
    <t>allocNonFossilGroundwater</t>
  </si>
  <si>
    <t>12:59:10,799</t>
  </si>
  <si>
    <t>fossilGroundwaterAbstr</t>
  </si>
  <si>
    <t>12:59:10,800</t>
  </si>
  <si>
    <t>fossilGroundwaterAlloc</t>
  </si>
  <si>
    <t>12:59:10,801</t>
  </si>
  <si>
    <t>landSurfaceRunoff</t>
  </si>
  <si>
    <t>12:59:10,802</t>
  </si>
  <si>
    <t>satExcess</t>
  </si>
  <si>
    <t>12:59:10,803</t>
  </si>
  <si>
    <t>snowMelt</t>
  </si>
  <si>
    <t>12:59:10,804</t>
  </si>
  <si>
    <t>totalGroundwaterAbstraction</t>
  </si>
  <si>
    <t>12:59:10,805</t>
  </si>
  <si>
    <t>totalGroundwaterAllocation</t>
  </si>
  <si>
    <t>12:59:10,806</t>
  </si>
  <si>
    <t>totalPotentialMaximumGrossDemand</t>
  </si>
  <si>
    <t>12:59:10,807</t>
  </si>
  <si>
    <t>totalPotentialMaximumIrrGrossDemand</t>
  </si>
  <si>
    <t>totalPotentialMaximumIrrGrossDemandPaddy</t>
  </si>
  <si>
    <t>12:59:10,808</t>
  </si>
  <si>
    <t>totalPotentialMaximumIrrGrossDemandNonPaddy</t>
  </si>
  <si>
    <t>12:59:10,809</t>
  </si>
  <si>
    <t>totalPotentialMaximumNonIrrGrossDemand</t>
  </si>
  <si>
    <t>12:59:10,810</t>
  </si>
  <si>
    <t>irrGrossDemandPaddy</t>
  </si>
  <si>
    <t>12:59:10,811</t>
  </si>
  <si>
    <t>irrGrossDemandNonPaddy</t>
  </si>
  <si>
    <t>12:59:10,812</t>
  </si>
  <si>
    <t>domesticWaterWithdrawal</t>
  </si>
  <si>
    <t>12:59:10,813</t>
  </si>
  <si>
    <t>industryWaterWithdrawal</t>
  </si>
  <si>
    <t>12:59:10,814</t>
  </si>
  <si>
    <t>livestockWaterWithdrawal</t>
  </si>
  <si>
    <t>12:59:10,815</t>
  </si>
  <si>
    <t>nonIrrReturnFlow</t>
  </si>
  <si>
    <t>12:59:10,816</t>
  </si>
  <si>
    <t>irrigationTranspirationDeficit</t>
  </si>
  <si>
    <t>12:59:10,817</t>
  </si>
  <si>
    <t>actTranspiUpp</t>
  </si>
  <si>
    <t>12:59:10,818</t>
  </si>
  <si>
    <t>actTranspiLow</t>
  </si>
  <si>
    <t>12:59:10,819</t>
  </si>
  <si>
    <t>netPercUpp</t>
  </si>
  <si>
    <t>12:59:10,820</t>
  </si>
  <si>
    <t>waterBalance</t>
  </si>
  <si>
    <t>12:59:10,821</t>
  </si>
  <si>
    <t>absWaterBalance</t>
  </si>
  <si>
    <t>12:59:10,822</t>
  </si>
  <si>
    <t>irrigationEvaporationWaterUse</t>
  </si>
  <si>
    <t>12:59:10,823</t>
  </si>
  <si>
    <t>nonIrrigationWaterUse</t>
  </si>
  <si>
    <t>is</t>
  </si>
  <si>
    <t>for</t>
  </si>
  <si>
    <t>bodies.</t>
  </si>
  <si>
    <t>12:59:10,825</t>
  </si>
  <si>
    <t>12:59:10,826</t>
  </si>
  <si>
    <t>waterBodyEvaporation</t>
  </si>
  <si>
    <t>12:59:10,827</t>
  </si>
  <si>
    <t>surfaceWaterInput</t>
  </si>
  <si>
    <t>dischargeAtPitTotal</t>
  </si>
  <si>
    <t>12:59:10,828</t>
  </si>
  <si>
    <t>surfaceWaterBalance</t>
  </si>
  <si>
    <t>12:59:10,835</t>
  </si>
  <si>
    <t>reporting</t>
  </si>
  <si>
    <t>time</t>
  </si>
  <si>
    <t>/scratch/sutan101/test_pgb_for_lue_development_no_window_zonal/pcraster/log/setup_30min_on_velocity_for_lue.ini_2025-03-05T00.55.26.658298.log</t>
  </si>
  <si>
    <t>01:54:22,955</t>
  </si>
  <si>
    <t>/scratch/sutan101/test_pgb_for_lue_development_no_window_zonal/pcraster/states/topWaterLayer_forest_2000-12-31.map</t>
  </si>
  <si>
    <t>01:54:22,963</t>
  </si>
  <si>
    <t>/scratch/sutan101/test_pgb_for_lue_development_no_window_zonal/pcraster/states/storUpp_forest_2000-12-31.map</t>
  </si>
  <si>
    <t>01:54:22,971</t>
  </si>
  <si>
    <t>/scratch/sutan101/test_pgb_for_lue_development_no_window_zonal/pcraster/states/storLow_forest_2000-12-31.map</t>
  </si>
  <si>
    <t>01:54:22,978</t>
  </si>
  <si>
    <t>/scratch/sutan101/test_pgb_for_lue_development_no_window_zonal/pcraster/states/interflow_forest_2000-12-31.map</t>
  </si>
  <si>
    <t>01:54:22,987</t>
  </si>
  <si>
    <t>/scratch/sutan101/test_pgb_for_lue_development_no_window_zonal/pcraster/states/interceptStor_grassland_2000-12-31.map</t>
  </si>
  <si>
    <t>01:54:22,995</t>
  </si>
  <si>
    <t>/scratch/sutan101/test_pgb_for_lue_development_no_window_zonal/pcraster/states/snowCoverSWE_grassland_2000-12-31.map</t>
  </si>
  <si>
    <t>01:54:23,003</t>
  </si>
  <si>
    <t>/scratch/sutan101/test_pgb_for_lue_development_no_window_zonal/pcraster/states/snowFreeWater_grassland_2000-12-31.map</t>
  </si>
  <si>
    <t>01:54:23,012</t>
  </si>
  <si>
    <t>/scratch/sutan101/test_pgb_for_lue_development_no_window_zonal/pcraster/states/topWaterLayer_grassland_2000-12-31.map</t>
  </si>
  <si>
    <t>01:54:23,020</t>
  </si>
  <si>
    <t>/scratch/sutan101/test_pgb_for_lue_development_no_window_zonal/pcraster/states/storUpp_grassland_2000-12-31.map</t>
  </si>
  <si>
    <t>01:54:23,028</t>
  </si>
  <si>
    <t>/scratch/sutan101/test_pgb_for_lue_development_no_window_zonal/pcraster/states/storLow_grassland_2000-12-31.map</t>
  </si>
  <si>
    <t>01:54:23,036</t>
  </si>
  <si>
    <t>/scratch/sutan101/test_pgb_for_lue_development_no_window_zonal/pcraster/states/interflow_grassland_2000-12-31.map</t>
  </si>
  <si>
    <t>01:54:23,044</t>
  </si>
  <si>
    <t>/scratch/sutan101/test_pgb_for_lue_development_no_window_zonal/pcraster/states/storGroundwater_2000-12-31.map</t>
  </si>
  <si>
    <t>01:54:23,052</t>
  </si>
  <si>
    <t>/scratch/sutan101/test_pgb_for_lue_development_no_window_zonal/pcraster/states/storGroundwaterFossil_2000-12-31.map</t>
  </si>
  <si>
    <t>01:54:23,061</t>
  </si>
  <si>
    <t>/scratch/sutan101/test_pgb_for_lue_development_no_window_zonal/pcraster/states/avgTotalGroundwaterAbstraction_2000-12-31.map</t>
  </si>
  <si>
    <t>01:54:23,069</t>
  </si>
  <si>
    <t>/scratch/sutan101/test_pgb_for_lue_development_no_window_zonal/pcraster/states/avgTotalGroundwaterAllocationLong_2000-12-31.map</t>
  </si>
  <si>
    <t>01:54:23,076</t>
  </si>
  <si>
    <t>/scratch/sutan101/test_pgb_for_lue_development_no_window_zonal/pcraster/states/avgTotalGroundwaterAllocationShort_2000-12-31.map</t>
  </si>
  <si>
    <t>01:54:23,084</t>
  </si>
  <si>
    <t>/scratch/sutan101/test_pgb_for_lue_development_no_window_zonal/pcraster/states/avgNonFossilGroundwaterAllocationLong_2000-12-31.map</t>
  </si>
  <si>
    <t>01:54:23,092</t>
  </si>
  <si>
    <t>/scratch/sutan101/test_pgb_for_lue_development_no_window_zonal/pcraster/states/avgNonFossilGroundwaterAllocationShort_2000-12-31.map</t>
  </si>
  <si>
    <t>01:54:23,100</t>
  </si>
  <si>
    <t>/scratch/sutan101/test_pgb_for_lue_development_no_window_zonal/pcraster/states/avgStorGroundwater_2000-12-31.map</t>
  </si>
  <si>
    <t>01:54:23,108</t>
  </si>
  <si>
    <t>/scratch/sutan101/test_pgb_for_lue_development_no_window_zonal/pcraster/states/relativeGroundwaterHead_2000-12-31.map</t>
  </si>
  <si>
    <t>01:54:23,115</t>
  </si>
  <si>
    <t>/scratch/sutan101/test_pgb_for_lue_development_no_window_zonal/pcraster/states/baseflow_2000-12-31.map</t>
  </si>
  <si>
    <t>01:54:23,123</t>
  </si>
  <si>
    <t>/scratch/sutan101/test_pgb_for_lue_development_no_window_zonal/pcraster/states/timestepsToAvgDischarge_2000-12-31.map</t>
  </si>
  <si>
    <t>01:54:23,131</t>
  </si>
  <si>
    <t>/scratch/sutan101/test_pgb_for_lue_development_no_window_zonal/pcraster/states/channelStorage_2000-12-31.map</t>
  </si>
  <si>
    <t>01:54:23,138</t>
  </si>
  <si>
    <t>/scratch/sutan101/test_pgb_for_lue_development_no_window_zonal/pcraster/states/readAvlChannelStorage_2000-12-31.map</t>
  </si>
  <si>
    <t>01:54:23,146</t>
  </si>
  <si>
    <t>/scratch/sutan101/test_pgb_for_lue_development_no_window_zonal/pcraster/states/avgDischargeLong_2000-12-31.map</t>
  </si>
  <si>
    <t>01:54:23,154</t>
  </si>
  <si>
    <t>/scratch/sutan101/test_pgb_for_lue_development_no_window_zonal/pcraster/states/m2tDischargeLong_2000-12-31.map</t>
  </si>
  <si>
    <t>01:54:23,162</t>
  </si>
  <si>
    <t>/scratch/sutan101/test_pgb_for_lue_development_no_window_zonal/pcraster/states/avgBaseflowLong_2000-12-31.map</t>
  </si>
  <si>
    <t>01:54:23,169</t>
  </si>
  <si>
    <t>/scratch/sutan101/test_pgb_for_lue_development_no_window_zonal/pcraster/states/riverbedExchange_2000-12-31.map</t>
  </si>
  <si>
    <t>01:54:23,178</t>
  </si>
  <si>
    <t>/scratch/sutan101/test_pgb_for_lue_development_no_window_zonal/pcraster/states/waterBodyStorage_2000-12-31.map</t>
  </si>
  <si>
    <t>01:54:23,186</t>
  </si>
  <si>
    <t>/scratch/sutan101/test_pgb_for_lue_development_no_window_zonal/pcraster/states/avgLakeReservoirOutflowLong_2000-12-31.map</t>
  </si>
  <si>
    <t>01:54:23,195</t>
  </si>
  <si>
    <t>/scratch/sutan101/test_pgb_for_lue_development_no_window_zonal/pcraster/states/avgLakeReservoirInflowShort_2000-12-31.map</t>
  </si>
  <si>
    <t>01:54:23,203</t>
  </si>
  <si>
    <t>/scratch/sutan101/test_pgb_for_lue_development_no_window_zonal/pcraster/states/avgDischargeShort_2000-12-31.map</t>
  </si>
  <si>
    <t>01:54:23,210</t>
  </si>
  <si>
    <t>/scratch/sutan101/test_pgb_for_lue_development_no_window_zonal/pcraster/states/subDischarge_2000-12-31.map</t>
  </si>
  <si>
    <t>01:54:23,285</t>
  </si>
  <si>
    <t>01:54:23,287</t>
  </si>
  <si>
    <t>01:54:23,290</t>
  </si>
  <si>
    <t>01:54:23,294</t>
  </si>
  <si>
    <t>01:54:23,296</t>
  </si>
  <si>
    <t>01:54:23,297</t>
  </si>
  <si>
    <t>01:54:23,299</t>
  </si>
  <si>
    <t>01:54:23,301</t>
  </si>
  <si>
    <t>01:54:23,302</t>
  </si>
  <si>
    <t>01:54:23,304</t>
  </si>
  <si>
    <t>01:54:23,306</t>
  </si>
  <si>
    <t>01:54:23,307</t>
  </si>
  <si>
    <t>01:54:23,309</t>
  </si>
  <si>
    <t>01:54:23,311</t>
  </si>
  <si>
    <t>01:54:23,312</t>
  </si>
  <si>
    <t>01:54:23,314</t>
  </si>
  <si>
    <t>01:54:23,316</t>
  </si>
  <si>
    <t>01:54:23,317</t>
  </si>
  <si>
    <t>01:54:23,319</t>
  </si>
  <si>
    <t>01:54:23,321</t>
  </si>
  <si>
    <t>01:54:23,322</t>
  </si>
  <si>
    <t>01:54:23,324</t>
  </si>
  <si>
    <t>01:54:23,326</t>
  </si>
  <si>
    <t>01:54:23,327</t>
  </si>
  <si>
    <t>01:54:23,329</t>
  </si>
  <si>
    <t>01:54:23,331</t>
  </si>
  <si>
    <t>01:54:23,332</t>
  </si>
  <si>
    <t>01:54:23,334</t>
  </si>
  <si>
    <t>01:54:23,336</t>
  </si>
  <si>
    <t>01:54:23,337</t>
  </si>
  <si>
    <t>01:54:23,339</t>
  </si>
  <si>
    <t>01:54:23,341</t>
  </si>
  <si>
    <t>01:54:23,342</t>
  </si>
  <si>
    <t>01:54:23,344</t>
  </si>
  <si>
    <t>01:54:23,346</t>
  </si>
  <si>
    <t>01:54:23,347</t>
  </si>
  <si>
    <t>01:54:23,349</t>
  </si>
  <si>
    <t>01:54:23,350</t>
  </si>
  <si>
    <t>01:54:23,352</t>
  </si>
  <si>
    <t>01:54:23,354</t>
  </si>
  <si>
    <t>01:54:23,355</t>
  </si>
  <si>
    <t>01:54:23,357</t>
  </si>
  <si>
    <t>01:54:23,359</t>
  </si>
  <si>
    <t>01:54:23,360</t>
  </si>
  <si>
    <t>01:54:23,362</t>
  </si>
  <si>
    <t>01:54:23,364</t>
  </si>
  <si>
    <t>01:54:23,365</t>
  </si>
  <si>
    <t>01:54:23,367</t>
  </si>
  <si>
    <t>01:54:23,369</t>
  </si>
  <si>
    <t>01:54:23,370</t>
  </si>
  <si>
    <t>01:54:23,372</t>
  </si>
  <si>
    <t>01:54:23,374</t>
  </si>
  <si>
    <t>01:54:23,375</t>
  </si>
  <si>
    <t>01:54:23,377</t>
  </si>
  <si>
    <t>01:54:23,379</t>
  </si>
  <si>
    <t>01:54:23,380</t>
  </si>
  <si>
    <t>01:54:23,382</t>
  </si>
  <si>
    <t>01:54:23,384</t>
  </si>
  <si>
    <t>01:54:23,387</t>
  </si>
  <si>
    <t>01:54:23,389</t>
  </si>
  <si>
    <t>01:54:23,390</t>
  </si>
  <si>
    <t>01:54:23,391</t>
  </si>
  <si>
    <t>01:54:23,487</t>
  </si>
  <si>
    <t>lue</t>
  </si>
  <si>
    <t>diff / pcraster (%)</t>
  </si>
  <si>
    <t>diff = lue - pcraster</t>
  </si>
  <si>
    <t>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</si>
</sst>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1" fontId="0" fillId="0" borderId="0" xfId="0" applyNumberFormat="1"/>
    <xf numFmtId="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16" fillId="0" borderId="0" xfId="0" applyFont="1"/>
    <xf numFmtId="4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10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6A4A-3724-4EF4-A373-52D5D3918946}">
  <dimension ref="A1:U203"/>
  <sheetViews>
    <sheetView topLeftCell="C124" workbookViewId="0"/>
  </sheetViews>
  <sheetFormatPr defaultRowHeight="15" x14ac:dyDescent="0.25"/>
  <cols>
    <col min="3" max="3" width="136.7109375" bestFit="1" customWidth="1"/>
    <col min="5" max="5" width="12.5703125" bestFit="1" customWidth="1"/>
    <col min="6" max="6" width="46.5703125" bestFit="1" customWidth="1"/>
  </cols>
  <sheetData>
    <row r="1" spans="1:11" x14ac:dyDescent="0.25">
      <c r="B1" t="s">
        <v>0</v>
      </c>
      <c r="C1" t="s">
        <v>1</v>
      </c>
      <c r="D1" t="s">
        <v>2</v>
      </c>
    </row>
    <row r="2" spans="1:11" x14ac:dyDescent="0.25">
      <c r="A2" s="1">
        <v>45722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</row>
    <row r="3" spans="1:11" x14ac:dyDescent="0.25">
      <c r="A3" s="1">
        <v>45722</v>
      </c>
      <c r="B3" t="s">
        <v>13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14</v>
      </c>
    </row>
    <row r="4" spans="1:11" x14ac:dyDescent="0.25">
      <c r="A4" s="1">
        <v>45722</v>
      </c>
      <c r="B4" t="s">
        <v>15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16</v>
      </c>
    </row>
    <row r="5" spans="1:11" x14ac:dyDescent="0.25">
      <c r="A5" s="1">
        <v>45722</v>
      </c>
      <c r="B5" t="s">
        <v>17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18</v>
      </c>
    </row>
    <row r="6" spans="1:11" x14ac:dyDescent="0.25">
      <c r="A6" s="1">
        <v>45722</v>
      </c>
      <c r="B6" t="s">
        <v>19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20</v>
      </c>
    </row>
    <row r="7" spans="1:11" x14ac:dyDescent="0.25">
      <c r="A7" s="1">
        <v>45722</v>
      </c>
      <c r="B7" t="s">
        <v>21</v>
      </c>
      <c r="C7" t="s">
        <v>4</v>
      </c>
      <c r="D7" t="s">
        <v>5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J7" t="s">
        <v>11</v>
      </c>
      <c r="K7" t="s">
        <v>22</v>
      </c>
    </row>
    <row r="8" spans="1:11" x14ac:dyDescent="0.25">
      <c r="A8" s="1">
        <v>45722</v>
      </c>
      <c r="B8" t="s">
        <v>23</v>
      </c>
      <c r="C8" t="s">
        <v>4</v>
      </c>
      <c r="D8" t="s">
        <v>5</v>
      </c>
      <c r="E8" t="s">
        <v>6</v>
      </c>
      <c r="F8" t="s">
        <v>7</v>
      </c>
      <c r="G8" t="s">
        <v>8</v>
      </c>
      <c r="H8" t="s">
        <v>9</v>
      </c>
      <c r="I8" t="s">
        <v>10</v>
      </c>
      <c r="J8" t="s">
        <v>11</v>
      </c>
      <c r="K8" t="s">
        <v>24</v>
      </c>
    </row>
    <row r="9" spans="1:11" x14ac:dyDescent="0.25">
      <c r="A9" s="1">
        <v>45722</v>
      </c>
      <c r="B9" t="s">
        <v>25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  <c r="J9" t="s">
        <v>11</v>
      </c>
      <c r="K9" t="s">
        <v>26</v>
      </c>
    </row>
    <row r="10" spans="1:11" x14ac:dyDescent="0.25">
      <c r="A10" s="1">
        <v>45722</v>
      </c>
      <c r="B10" t="s">
        <v>27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  <c r="J10" t="s">
        <v>11</v>
      </c>
      <c r="K10" t="s">
        <v>28</v>
      </c>
    </row>
    <row r="11" spans="1:11" x14ac:dyDescent="0.25">
      <c r="A11" s="1">
        <v>45722</v>
      </c>
      <c r="B11" t="s">
        <v>29</v>
      </c>
      <c r="C11" t="s">
        <v>4</v>
      </c>
      <c r="D11" t="s">
        <v>5</v>
      </c>
      <c r="E11" t="s">
        <v>6</v>
      </c>
      <c r="F11" t="s">
        <v>7</v>
      </c>
      <c r="G11" t="s">
        <v>8</v>
      </c>
      <c r="H11" t="s">
        <v>9</v>
      </c>
      <c r="I11" t="s">
        <v>10</v>
      </c>
      <c r="J11" t="s">
        <v>11</v>
      </c>
      <c r="K11" t="s">
        <v>30</v>
      </c>
    </row>
    <row r="12" spans="1:11" x14ac:dyDescent="0.25">
      <c r="A12" s="1">
        <v>45722</v>
      </c>
      <c r="B12" t="s">
        <v>31</v>
      </c>
      <c r="C12" t="s">
        <v>4</v>
      </c>
      <c r="D12" t="s">
        <v>5</v>
      </c>
      <c r="E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11</v>
      </c>
      <c r="K12" t="s">
        <v>32</v>
      </c>
    </row>
    <row r="13" spans="1:11" x14ac:dyDescent="0.25">
      <c r="A13" s="1">
        <v>45722</v>
      </c>
      <c r="B13" t="s">
        <v>33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  <c r="H13" t="s">
        <v>9</v>
      </c>
      <c r="I13" t="s">
        <v>10</v>
      </c>
      <c r="J13" t="s">
        <v>11</v>
      </c>
      <c r="K13" t="s">
        <v>34</v>
      </c>
    </row>
    <row r="14" spans="1:11" x14ac:dyDescent="0.25">
      <c r="A14" s="1">
        <v>45722</v>
      </c>
      <c r="B14" t="s">
        <v>35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  <c r="J14" t="s">
        <v>11</v>
      </c>
      <c r="K14" t="s">
        <v>36</v>
      </c>
    </row>
    <row r="15" spans="1:11" x14ac:dyDescent="0.25">
      <c r="A15" s="1">
        <v>45722</v>
      </c>
      <c r="B15" t="s">
        <v>37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  <c r="I15" t="s">
        <v>10</v>
      </c>
      <c r="J15" t="s">
        <v>11</v>
      </c>
      <c r="K15" t="s">
        <v>38</v>
      </c>
    </row>
    <row r="16" spans="1:11" x14ac:dyDescent="0.25">
      <c r="A16" s="1">
        <v>45722</v>
      </c>
      <c r="B16" t="s">
        <v>39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  <c r="I16" t="s">
        <v>10</v>
      </c>
      <c r="J16" t="s">
        <v>11</v>
      </c>
      <c r="K16" t="s">
        <v>40</v>
      </c>
    </row>
    <row r="17" spans="1:11" x14ac:dyDescent="0.25">
      <c r="A17" s="1">
        <v>45722</v>
      </c>
      <c r="B17" t="s">
        <v>41</v>
      </c>
      <c r="C17" t="s">
        <v>4</v>
      </c>
      <c r="D17" t="s">
        <v>5</v>
      </c>
      <c r="E17" t="s">
        <v>6</v>
      </c>
      <c r="F17" t="s">
        <v>7</v>
      </c>
      <c r="G17" t="s">
        <v>8</v>
      </c>
      <c r="H17" t="s">
        <v>9</v>
      </c>
      <c r="I17" t="s">
        <v>10</v>
      </c>
      <c r="J17" t="s">
        <v>11</v>
      </c>
      <c r="K17" t="s">
        <v>42</v>
      </c>
    </row>
    <row r="18" spans="1:11" x14ac:dyDescent="0.25">
      <c r="A18" s="1">
        <v>45722</v>
      </c>
      <c r="B18" t="s">
        <v>43</v>
      </c>
      <c r="C18" t="s">
        <v>4</v>
      </c>
      <c r="D18" t="s">
        <v>5</v>
      </c>
      <c r="E18" t="s">
        <v>6</v>
      </c>
      <c r="F18" t="s">
        <v>7</v>
      </c>
      <c r="G18" t="s">
        <v>8</v>
      </c>
      <c r="H18" t="s">
        <v>9</v>
      </c>
      <c r="I18" t="s">
        <v>10</v>
      </c>
      <c r="J18" t="s">
        <v>11</v>
      </c>
      <c r="K18" t="s">
        <v>44</v>
      </c>
    </row>
    <row r="19" spans="1:11" x14ac:dyDescent="0.25">
      <c r="A19" s="1">
        <v>45722</v>
      </c>
      <c r="B19" t="s">
        <v>45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  <c r="J19" t="s">
        <v>11</v>
      </c>
      <c r="K19" t="s">
        <v>46</v>
      </c>
    </row>
    <row r="20" spans="1:11" x14ac:dyDescent="0.25">
      <c r="A20" s="1">
        <v>45722</v>
      </c>
      <c r="B20" t="s">
        <v>47</v>
      </c>
      <c r="C20" t="s">
        <v>4</v>
      </c>
      <c r="D20" t="s">
        <v>5</v>
      </c>
      <c r="E20" t="s">
        <v>6</v>
      </c>
      <c r="F20" t="s">
        <v>7</v>
      </c>
      <c r="G20" t="s">
        <v>8</v>
      </c>
      <c r="H20" t="s">
        <v>9</v>
      </c>
      <c r="I20" t="s">
        <v>10</v>
      </c>
      <c r="J20" t="s">
        <v>11</v>
      </c>
      <c r="K20" t="s">
        <v>48</v>
      </c>
    </row>
    <row r="21" spans="1:11" x14ac:dyDescent="0.25">
      <c r="A21" s="1">
        <v>45722</v>
      </c>
      <c r="B21" t="s">
        <v>49</v>
      </c>
      <c r="C21" t="s">
        <v>4</v>
      </c>
      <c r="D21" t="s">
        <v>5</v>
      </c>
      <c r="E21" t="s">
        <v>6</v>
      </c>
      <c r="F21" t="s">
        <v>7</v>
      </c>
      <c r="G21" t="s">
        <v>8</v>
      </c>
      <c r="H21" t="s">
        <v>9</v>
      </c>
      <c r="I21" t="s">
        <v>10</v>
      </c>
      <c r="J21" t="s">
        <v>11</v>
      </c>
      <c r="K21" t="s">
        <v>50</v>
      </c>
    </row>
    <row r="22" spans="1:11" x14ac:dyDescent="0.25">
      <c r="A22" s="1">
        <v>45722</v>
      </c>
      <c r="B22" t="s">
        <v>51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  <c r="H22" t="s">
        <v>9</v>
      </c>
      <c r="I22" t="s">
        <v>10</v>
      </c>
      <c r="J22" t="s">
        <v>11</v>
      </c>
      <c r="K22" t="s">
        <v>52</v>
      </c>
    </row>
    <row r="23" spans="1:11" x14ac:dyDescent="0.25">
      <c r="A23" s="1">
        <v>45722</v>
      </c>
      <c r="B23" t="s">
        <v>53</v>
      </c>
      <c r="C23" t="s">
        <v>4</v>
      </c>
      <c r="D23" t="s">
        <v>5</v>
      </c>
      <c r="E23" t="s">
        <v>6</v>
      </c>
      <c r="F23" t="s">
        <v>7</v>
      </c>
      <c r="G23" t="s">
        <v>8</v>
      </c>
      <c r="H23" t="s">
        <v>9</v>
      </c>
      <c r="I23" t="s">
        <v>10</v>
      </c>
      <c r="J23" t="s">
        <v>11</v>
      </c>
      <c r="K23" t="s">
        <v>54</v>
      </c>
    </row>
    <row r="24" spans="1:11" x14ac:dyDescent="0.25">
      <c r="A24" s="1">
        <v>45722</v>
      </c>
      <c r="B24" t="s">
        <v>55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  <c r="J24" t="s">
        <v>11</v>
      </c>
      <c r="K24" t="s">
        <v>56</v>
      </c>
    </row>
    <row r="25" spans="1:11" x14ac:dyDescent="0.25">
      <c r="A25" s="1">
        <v>45722</v>
      </c>
      <c r="B25" t="s">
        <v>57</v>
      </c>
      <c r="C25" t="s">
        <v>4</v>
      </c>
      <c r="D25" t="s">
        <v>5</v>
      </c>
      <c r="E25" t="s">
        <v>6</v>
      </c>
      <c r="F25" t="s">
        <v>7</v>
      </c>
      <c r="G25" t="s">
        <v>8</v>
      </c>
      <c r="H25" t="s">
        <v>9</v>
      </c>
      <c r="I25" t="s">
        <v>10</v>
      </c>
      <c r="J25" t="s">
        <v>11</v>
      </c>
      <c r="K25" t="s">
        <v>58</v>
      </c>
    </row>
    <row r="26" spans="1:11" x14ac:dyDescent="0.25">
      <c r="A26" s="1">
        <v>45722</v>
      </c>
      <c r="B26" t="s">
        <v>59</v>
      </c>
      <c r="C26" t="s">
        <v>4</v>
      </c>
      <c r="D26" t="s">
        <v>5</v>
      </c>
      <c r="E26" t="s">
        <v>6</v>
      </c>
      <c r="F26" t="s">
        <v>7</v>
      </c>
      <c r="G26" t="s">
        <v>8</v>
      </c>
      <c r="H26" t="s">
        <v>9</v>
      </c>
      <c r="I26" t="s">
        <v>10</v>
      </c>
      <c r="J26" t="s">
        <v>11</v>
      </c>
      <c r="K26" t="s">
        <v>60</v>
      </c>
    </row>
    <row r="27" spans="1:11" x14ac:dyDescent="0.25">
      <c r="A27" s="1">
        <v>45722</v>
      </c>
      <c r="B27" t="s">
        <v>61</v>
      </c>
      <c r="C27" t="s">
        <v>4</v>
      </c>
      <c r="D27" t="s">
        <v>5</v>
      </c>
      <c r="E27" t="s">
        <v>6</v>
      </c>
      <c r="F27" t="s">
        <v>7</v>
      </c>
      <c r="G27" t="s">
        <v>8</v>
      </c>
      <c r="H27" t="s">
        <v>9</v>
      </c>
      <c r="I27" t="s">
        <v>10</v>
      </c>
      <c r="J27" t="s">
        <v>11</v>
      </c>
      <c r="K27" t="s">
        <v>62</v>
      </c>
    </row>
    <row r="28" spans="1:11" x14ac:dyDescent="0.25">
      <c r="A28" s="1">
        <v>45722</v>
      </c>
      <c r="B28" t="s">
        <v>63</v>
      </c>
      <c r="C28" t="s">
        <v>4</v>
      </c>
      <c r="D28" t="s">
        <v>5</v>
      </c>
      <c r="E28" t="s">
        <v>6</v>
      </c>
      <c r="F28" t="s">
        <v>7</v>
      </c>
      <c r="G28" t="s">
        <v>8</v>
      </c>
      <c r="H28" t="s">
        <v>9</v>
      </c>
      <c r="I28" t="s">
        <v>10</v>
      </c>
      <c r="J28" t="s">
        <v>11</v>
      </c>
      <c r="K28" t="s">
        <v>64</v>
      </c>
    </row>
    <row r="29" spans="1:11" x14ac:dyDescent="0.25">
      <c r="A29" s="1">
        <v>45722</v>
      </c>
      <c r="B29" t="s">
        <v>65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  <c r="J29" t="s">
        <v>11</v>
      </c>
      <c r="K29" t="s">
        <v>66</v>
      </c>
    </row>
    <row r="30" spans="1:11" x14ac:dyDescent="0.25">
      <c r="A30" s="1">
        <v>45722</v>
      </c>
      <c r="B30" t="s">
        <v>67</v>
      </c>
      <c r="C30" t="s">
        <v>4</v>
      </c>
      <c r="D30" t="s">
        <v>5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  <c r="J30" t="s">
        <v>11</v>
      </c>
      <c r="K30" t="s">
        <v>68</v>
      </c>
    </row>
    <row r="31" spans="1:11" x14ac:dyDescent="0.25">
      <c r="A31" s="1">
        <v>45722</v>
      </c>
      <c r="B31" t="s">
        <v>69</v>
      </c>
      <c r="C31" t="s">
        <v>4</v>
      </c>
      <c r="D31" t="s">
        <v>5</v>
      </c>
      <c r="E31" t="s">
        <v>6</v>
      </c>
      <c r="F31" t="s">
        <v>7</v>
      </c>
      <c r="G31" t="s">
        <v>8</v>
      </c>
      <c r="H31" t="s">
        <v>9</v>
      </c>
      <c r="I31" t="s">
        <v>10</v>
      </c>
      <c r="J31" t="s">
        <v>11</v>
      </c>
      <c r="K31" t="s">
        <v>70</v>
      </c>
    </row>
    <row r="32" spans="1:11" x14ac:dyDescent="0.25">
      <c r="A32" s="1">
        <v>45722</v>
      </c>
      <c r="B32" t="s">
        <v>71</v>
      </c>
      <c r="C32" t="s">
        <v>4</v>
      </c>
      <c r="D32" t="s">
        <v>5</v>
      </c>
      <c r="E32" t="s">
        <v>6</v>
      </c>
      <c r="F32" t="s">
        <v>7</v>
      </c>
      <c r="G32" t="s">
        <v>8</v>
      </c>
      <c r="H32" t="s">
        <v>9</v>
      </c>
      <c r="I32" t="s">
        <v>10</v>
      </c>
      <c r="J32" t="s">
        <v>11</v>
      </c>
      <c r="K32" t="s">
        <v>72</v>
      </c>
    </row>
    <row r="33" spans="1:21" x14ac:dyDescent="0.25">
      <c r="A33" s="1">
        <v>45722</v>
      </c>
      <c r="B33" t="s">
        <v>73</v>
      </c>
      <c r="C33" t="s">
        <v>4</v>
      </c>
      <c r="D33" t="s">
        <v>5</v>
      </c>
      <c r="E33" t="s">
        <v>6</v>
      </c>
      <c r="F33" t="s">
        <v>7</v>
      </c>
      <c r="G33" t="s">
        <v>8</v>
      </c>
      <c r="H33" t="s">
        <v>9</v>
      </c>
      <c r="I33" t="s">
        <v>10</v>
      </c>
      <c r="J33" t="s">
        <v>11</v>
      </c>
      <c r="K33" t="s">
        <v>74</v>
      </c>
    </row>
    <row r="34" spans="1:21" x14ac:dyDescent="0.25">
      <c r="A34" s="1">
        <v>45722</v>
      </c>
      <c r="B34" t="s">
        <v>75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  <c r="J34" t="s">
        <v>11</v>
      </c>
      <c r="K34" t="s">
        <v>76</v>
      </c>
    </row>
    <row r="35" spans="1:21" x14ac:dyDescent="0.25">
      <c r="A35" s="1">
        <v>45722</v>
      </c>
      <c r="B35" t="s">
        <v>77</v>
      </c>
      <c r="C35" t="s">
        <v>78</v>
      </c>
      <c r="D35" t="s">
        <v>79</v>
      </c>
    </row>
    <row r="36" spans="1:21" x14ac:dyDescent="0.25">
      <c r="A36" s="1">
        <v>45722</v>
      </c>
      <c r="B36" t="s">
        <v>77</v>
      </c>
      <c r="C36" t="s">
        <v>78</v>
      </c>
      <c r="D36" t="s">
        <v>79</v>
      </c>
      <c r="E36" t="s">
        <v>80</v>
      </c>
      <c r="F36" t="s">
        <v>81</v>
      </c>
      <c r="G36" t="s">
        <v>82</v>
      </c>
      <c r="H36" t="s">
        <v>83</v>
      </c>
      <c r="I36" t="s">
        <v>84</v>
      </c>
      <c r="J36" t="s">
        <v>85</v>
      </c>
      <c r="K36" t="s">
        <v>86</v>
      </c>
      <c r="L36" t="s">
        <v>87</v>
      </c>
      <c r="M36" t="s">
        <v>88</v>
      </c>
      <c r="N36" t="s">
        <v>89</v>
      </c>
      <c r="O36" t="s">
        <v>90</v>
      </c>
      <c r="P36" t="s">
        <v>91</v>
      </c>
      <c r="Q36" t="s">
        <v>92</v>
      </c>
      <c r="R36" t="s">
        <v>93</v>
      </c>
      <c r="S36" t="s">
        <v>94</v>
      </c>
      <c r="T36" t="s">
        <v>95</v>
      </c>
      <c r="U36" t="s">
        <v>96</v>
      </c>
    </row>
    <row r="37" spans="1:21" x14ac:dyDescent="0.25">
      <c r="A37" s="1">
        <v>45722</v>
      </c>
      <c r="B37" t="s">
        <v>97</v>
      </c>
      <c r="C37" t="s">
        <v>78</v>
      </c>
      <c r="D37" t="s">
        <v>79</v>
      </c>
      <c r="E37" t="s">
        <v>98</v>
      </c>
      <c r="F37" t="s">
        <v>99</v>
      </c>
      <c r="G37" s="2">
        <v>135104900</v>
      </c>
      <c r="H37" t="s">
        <v>100</v>
      </c>
    </row>
    <row r="38" spans="1:21" x14ac:dyDescent="0.25">
      <c r="A38" s="1">
        <v>45722</v>
      </c>
      <c r="B38" t="s">
        <v>101</v>
      </c>
      <c r="C38" t="s">
        <v>78</v>
      </c>
      <c r="D38" t="s">
        <v>79</v>
      </c>
      <c r="E38" t="s">
        <v>102</v>
      </c>
      <c r="F38" t="s">
        <v>103</v>
      </c>
      <c r="G38" t="s">
        <v>104</v>
      </c>
      <c r="H38" t="s">
        <v>105</v>
      </c>
      <c r="I38">
        <v>1</v>
      </c>
      <c r="J38" t="s">
        <v>10</v>
      </c>
      <c r="K38">
        <v>366</v>
      </c>
      <c r="L38" t="s">
        <v>88</v>
      </c>
      <c r="M38">
        <v>2000</v>
      </c>
      <c r="N38" s="2">
        <v>1345.4079999999999</v>
      </c>
      <c r="O38" t="s">
        <v>106</v>
      </c>
      <c r="P38" s="2">
        <v>9.9582440000000005</v>
      </c>
      <c r="Q38" t="s">
        <v>107</v>
      </c>
    </row>
    <row r="39" spans="1:21" x14ac:dyDescent="0.25">
      <c r="A39" s="1">
        <v>45722</v>
      </c>
      <c r="B39" t="s">
        <v>108</v>
      </c>
      <c r="C39" t="s">
        <v>78</v>
      </c>
      <c r="D39" t="s">
        <v>79</v>
      </c>
      <c r="E39" t="s">
        <v>109</v>
      </c>
      <c r="F39" t="s">
        <v>110</v>
      </c>
      <c r="G39" t="s">
        <v>105</v>
      </c>
      <c r="H39">
        <v>1</v>
      </c>
      <c r="I39" t="s">
        <v>10</v>
      </c>
      <c r="J39">
        <v>366</v>
      </c>
      <c r="K39" t="s">
        <v>88</v>
      </c>
      <c r="L39">
        <v>2000</v>
      </c>
      <c r="M39" s="2">
        <v>111706.5</v>
      </c>
      <c r="N39" t="s">
        <v>106</v>
      </c>
      <c r="O39" s="2">
        <v>826.81280000000004</v>
      </c>
      <c r="P39" t="s">
        <v>107</v>
      </c>
    </row>
    <row r="40" spans="1:21" x14ac:dyDescent="0.25">
      <c r="A40" s="1">
        <v>45722</v>
      </c>
      <c r="B40" t="s">
        <v>111</v>
      </c>
      <c r="C40" t="s">
        <v>78</v>
      </c>
      <c r="D40" t="s">
        <v>79</v>
      </c>
      <c r="E40" t="s">
        <v>109</v>
      </c>
      <c r="F40" t="s">
        <v>112</v>
      </c>
      <c r="G40" t="s">
        <v>105</v>
      </c>
      <c r="H40">
        <v>1</v>
      </c>
      <c r="I40" t="s">
        <v>10</v>
      </c>
      <c r="J40">
        <v>366</v>
      </c>
      <c r="K40" t="s">
        <v>88</v>
      </c>
      <c r="L40">
        <v>2000</v>
      </c>
      <c r="M40" s="2">
        <v>28659.57</v>
      </c>
      <c r="N40" t="s">
        <v>106</v>
      </c>
      <c r="O40" s="2">
        <v>212.1283</v>
      </c>
      <c r="P40" t="s">
        <v>107</v>
      </c>
    </row>
    <row r="41" spans="1:21" x14ac:dyDescent="0.25">
      <c r="A41" s="1">
        <v>45722</v>
      </c>
      <c r="B41" t="s">
        <v>113</v>
      </c>
      <c r="C41" t="s">
        <v>78</v>
      </c>
      <c r="D41" t="s">
        <v>79</v>
      </c>
      <c r="E41" t="s">
        <v>109</v>
      </c>
      <c r="F41" t="s">
        <v>114</v>
      </c>
      <c r="G41" t="s">
        <v>105</v>
      </c>
      <c r="H41">
        <v>1</v>
      </c>
      <c r="I41" t="s">
        <v>10</v>
      </c>
      <c r="J41">
        <v>366</v>
      </c>
      <c r="K41" t="s">
        <v>88</v>
      </c>
      <c r="L41">
        <v>2000</v>
      </c>
      <c r="M41" s="2">
        <v>0.55909710000000001</v>
      </c>
      <c r="N41" t="s">
        <v>106</v>
      </c>
      <c r="O41" s="2">
        <v>4.1382440000000001E-3</v>
      </c>
      <c r="P41" t="s">
        <v>107</v>
      </c>
    </row>
    <row r="42" spans="1:21" x14ac:dyDescent="0.25">
      <c r="A42" s="1">
        <v>45722</v>
      </c>
      <c r="B42" t="s">
        <v>115</v>
      </c>
      <c r="C42" t="s">
        <v>78</v>
      </c>
      <c r="D42" t="s">
        <v>79</v>
      </c>
      <c r="E42" t="s">
        <v>109</v>
      </c>
      <c r="F42" t="s">
        <v>116</v>
      </c>
      <c r="G42" t="s">
        <v>105</v>
      </c>
      <c r="H42">
        <v>1</v>
      </c>
      <c r="I42" t="s">
        <v>10</v>
      </c>
      <c r="J42">
        <v>366</v>
      </c>
      <c r="K42" t="s">
        <v>88</v>
      </c>
      <c r="L42">
        <v>2000</v>
      </c>
      <c r="M42" s="2">
        <v>48954.33</v>
      </c>
      <c r="N42" t="s">
        <v>106</v>
      </c>
      <c r="O42" s="2">
        <v>362.34300000000002</v>
      </c>
      <c r="P42" t="s">
        <v>107</v>
      </c>
    </row>
    <row r="43" spans="1:21" x14ac:dyDescent="0.25">
      <c r="A43" s="1">
        <v>45722</v>
      </c>
      <c r="B43" t="s">
        <v>117</v>
      </c>
      <c r="C43" t="s">
        <v>78</v>
      </c>
      <c r="D43" t="s">
        <v>79</v>
      </c>
      <c r="E43" t="s">
        <v>109</v>
      </c>
      <c r="F43" t="s">
        <v>118</v>
      </c>
      <c r="G43" t="s">
        <v>105</v>
      </c>
      <c r="H43">
        <v>1</v>
      </c>
      <c r="I43" t="s">
        <v>10</v>
      </c>
      <c r="J43">
        <v>366</v>
      </c>
      <c r="K43" t="s">
        <v>88</v>
      </c>
      <c r="L43">
        <v>2000</v>
      </c>
      <c r="M43" s="2">
        <v>0</v>
      </c>
      <c r="N43" t="s">
        <v>106</v>
      </c>
      <c r="O43" s="2">
        <v>0</v>
      </c>
      <c r="P43" t="s">
        <v>107</v>
      </c>
    </row>
    <row r="44" spans="1:21" x14ac:dyDescent="0.25">
      <c r="A44" s="1">
        <v>45722</v>
      </c>
      <c r="B44" t="s">
        <v>119</v>
      </c>
      <c r="C44" t="s">
        <v>78</v>
      </c>
      <c r="D44" t="s">
        <v>79</v>
      </c>
      <c r="E44" t="s">
        <v>109</v>
      </c>
      <c r="F44" t="s">
        <v>120</v>
      </c>
      <c r="G44" t="s">
        <v>105</v>
      </c>
      <c r="H44">
        <v>1</v>
      </c>
      <c r="I44" t="s">
        <v>10</v>
      </c>
      <c r="J44">
        <v>366</v>
      </c>
      <c r="K44" t="s">
        <v>88</v>
      </c>
      <c r="L44">
        <v>2000</v>
      </c>
      <c r="M44" s="2">
        <v>88584.37</v>
      </c>
      <c r="N44" t="s">
        <v>106</v>
      </c>
      <c r="O44" s="2">
        <v>655.67089999999996</v>
      </c>
      <c r="P44" t="s">
        <v>107</v>
      </c>
    </row>
    <row r="45" spans="1:21" x14ac:dyDescent="0.25">
      <c r="A45" s="1">
        <v>45722</v>
      </c>
      <c r="B45" t="s">
        <v>121</v>
      </c>
      <c r="C45" t="s">
        <v>78</v>
      </c>
      <c r="D45" t="s">
        <v>79</v>
      </c>
      <c r="E45" t="s">
        <v>109</v>
      </c>
      <c r="F45" t="s">
        <v>122</v>
      </c>
      <c r="G45" t="s">
        <v>105</v>
      </c>
      <c r="H45">
        <v>1</v>
      </c>
      <c r="I45" t="s">
        <v>10</v>
      </c>
      <c r="J45">
        <v>366</v>
      </c>
      <c r="K45" t="s">
        <v>88</v>
      </c>
      <c r="L45">
        <v>2000</v>
      </c>
      <c r="M45" s="2">
        <v>28714.65</v>
      </c>
      <c r="N45" t="s">
        <v>106</v>
      </c>
      <c r="O45" s="2">
        <v>212.536</v>
      </c>
      <c r="P45" t="s">
        <v>107</v>
      </c>
    </row>
    <row r="46" spans="1:21" x14ac:dyDescent="0.25">
      <c r="A46" s="1">
        <v>45722</v>
      </c>
      <c r="B46" t="s">
        <v>123</v>
      </c>
      <c r="C46" t="s">
        <v>78</v>
      </c>
      <c r="D46" t="s">
        <v>79</v>
      </c>
      <c r="E46" t="s">
        <v>109</v>
      </c>
      <c r="F46" t="s">
        <v>124</v>
      </c>
      <c r="G46" t="s">
        <v>105</v>
      </c>
      <c r="H46">
        <v>1</v>
      </c>
      <c r="I46" t="s">
        <v>10</v>
      </c>
      <c r="J46">
        <v>366</v>
      </c>
      <c r="K46" t="s">
        <v>88</v>
      </c>
      <c r="L46">
        <v>2000</v>
      </c>
      <c r="M46" s="2">
        <v>99930.74</v>
      </c>
      <c r="N46" t="s">
        <v>106</v>
      </c>
      <c r="O46" s="2">
        <v>739.65279999999996</v>
      </c>
      <c r="P46" t="s">
        <v>107</v>
      </c>
    </row>
    <row r="47" spans="1:21" x14ac:dyDescent="0.25">
      <c r="A47" s="1">
        <v>45722</v>
      </c>
      <c r="B47" t="s">
        <v>125</v>
      </c>
      <c r="C47" t="s">
        <v>78</v>
      </c>
      <c r="D47" t="s">
        <v>79</v>
      </c>
      <c r="E47" t="s">
        <v>109</v>
      </c>
      <c r="F47" t="s">
        <v>126</v>
      </c>
      <c r="G47" t="s">
        <v>105</v>
      </c>
      <c r="H47">
        <v>1</v>
      </c>
      <c r="I47" t="s">
        <v>10</v>
      </c>
      <c r="J47">
        <v>366</v>
      </c>
      <c r="K47" t="s">
        <v>88</v>
      </c>
      <c r="L47">
        <v>2000</v>
      </c>
      <c r="M47" s="2">
        <v>120845.7</v>
      </c>
      <c r="N47" t="s">
        <v>106</v>
      </c>
      <c r="O47" s="2">
        <v>894.45839999999998</v>
      </c>
      <c r="P47" t="s">
        <v>107</v>
      </c>
    </row>
    <row r="48" spans="1:21" x14ac:dyDescent="0.25">
      <c r="A48" s="1">
        <v>45722</v>
      </c>
      <c r="B48" t="s">
        <v>127</v>
      </c>
      <c r="C48" t="s">
        <v>78</v>
      </c>
      <c r="D48" t="s">
        <v>79</v>
      </c>
      <c r="E48" t="s">
        <v>109</v>
      </c>
      <c r="F48" t="s">
        <v>128</v>
      </c>
      <c r="G48" t="s">
        <v>105</v>
      </c>
      <c r="H48">
        <v>1</v>
      </c>
      <c r="I48" t="s">
        <v>10</v>
      </c>
      <c r="J48">
        <v>366</v>
      </c>
      <c r="K48" t="s">
        <v>88</v>
      </c>
      <c r="L48">
        <v>2000</v>
      </c>
      <c r="M48" s="2">
        <v>61398.3</v>
      </c>
      <c r="N48" t="s">
        <v>106</v>
      </c>
      <c r="O48" s="2">
        <v>454.44900000000001</v>
      </c>
      <c r="P48" t="s">
        <v>107</v>
      </c>
    </row>
    <row r="49" spans="1:16" x14ac:dyDescent="0.25">
      <c r="A49" s="1">
        <v>45722</v>
      </c>
      <c r="B49" t="s">
        <v>129</v>
      </c>
      <c r="C49" t="s">
        <v>78</v>
      </c>
      <c r="D49" t="s">
        <v>79</v>
      </c>
      <c r="E49" t="s">
        <v>109</v>
      </c>
      <c r="F49" t="s">
        <v>130</v>
      </c>
      <c r="G49" t="s">
        <v>105</v>
      </c>
      <c r="H49">
        <v>1</v>
      </c>
      <c r="I49" t="s">
        <v>10</v>
      </c>
      <c r="J49">
        <v>366</v>
      </c>
      <c r="K49" t="s">
        <v>88</v>
      </c>
      <c r="L49">
        <v>2000</v>
      </c>
      <c r="M49" s="2">
        <v>10465.68</v>
      </c>
      <c r="N49" t="s">
        <v>106</v>
      </c>
      <c r="O49" s="2">
        <v>77.463359999999994</v>
      </c>
      <c r="P49" t="s">
        <v>107</v>
      </c>
    </row>
    <row r="50" spans="1:16" x14ac:dyDescent="0.25">
      <c r="A50" s="1">
        <v>45722</v>
      </c>
      <c r="B50" t="s">
        <v>131</v>
      </c>
      <c r="C50" t="s">
        <v>78</v>
      </c>
      <c r="D50" t="s">
        <v>79</v>
      </c>
      <c r="E50" t="s">
        <v>109</v>
      </c>
      <c r="F50" t="s">
        <v>132</v>
      </c>
      <c r="G50" t="s">
        <v>105</v>
      </c>
      <c r="H50">
        <v>1</v>
      </c>
      <c r="I50" t="s">
        <v>10</v>
      </c>
      <c r="J50">
        <v>366</v>
      </c>
      <c r="K50" t="s">
        <v>88</v>
      </c>
      <c r="L50">
        <v>2000</v>
      </c>
      <c r="M50" s="2">
        <v>0</v>
      </c>
      <c r="N50" t="s">
        <v>106</v>
      </c>
      <c r="O50" s="2">
        <v>0</v>
      </c>
      <c r="P50" t="s">
        <v>107</v>
      </c>
    </row>
    <row r="51" spans="1:16" x14ac:dyDescent="0.25">
      <c r="A51" s="1">
        <v>45722</v>
      </c>
      <c r="B51" t="s">
        <v>133</v>
      </c>
      <c r="C51" t="s">
        <v>78</v>
      </c>
      <c r="D51" t="s">
        <v>79</v>
      </c>
      <c r="E51" t="s">
        <v>109</v>
      </c>
      <c r="F51" t="s">
        <v>134</v>
      </c>
      <c r="G51" t="s">
        <v>105</v>
      </c>
      <c r="H51">
        <v>1</v>
      </c>
      <c r="I51" t="s">
        <v>10</v>
      </c>
      <c r="J51">
        <v>366</v>
      </c>
      <c r="K51" t="s">
        <v>88</v>
      </c>
      <c r="L51">
        <v>2000</v>
      </c>
      <c r="M51" s="2">
        <v>396.7038</v>
      </c>
      <c r="N51" t="s">
        <v>106</v>
      </c>
      <c r="O51" s="2">
        <v>2.9362650000000001</v>
      </c>
      <c r="P51" t="s">
        <v>107</v>
      </c>
    </row>
    <row r="52" spans="1:16" x14ac:dyDescent="0.25">
      <c r="A52" s="1">
        <v>45722</v>
      </c>
      <c r="B52" t="s">
        <v>135</v>
      </c>
      <c r="C52" t="s">
        <v>78</v>
      </c>
      <c r="D52" t="s">
        <v>79</v>
      </c>
      <c r="E52" t="s">
        <v>109</v>
      </c>
      <c r="F52" t="s">
        <v>136</v>
      </c>
      <c r="G52" t="s">
        <v>105</v>
      </c>
      <c r="H52">
        <v>1</v>
      </c>
      <c r="I52" t="s">
        <v>10</v>
      </c>
      <c r="J52">
        <v>366</v>
      </c>
      <c r="K52" t="s">
        <v>88</v>
      </c>
      <c r="L52">
        <v>2000</v>
      </c>
      <c r="M52" s="2">
        <v>14207.27</v>
      </c>
      <c r="N52" t="s">
        <v>106</v>
      </c>
      <c r="O52" s="2">
        <v>105.15730000000001</v>
      </c>
      <c r="P52" t="s">
        <v>107</v>
      </c>
    </row>
    <row r="53" spans="1:16" x14ac:dyDescent="0.25">
      <c r="A53" s="1">
        <v>45722</v>
      </c>
      <c r="B53" t="s">
        <v>137</v>
      </c>
      <c r="C53" t="s">
        <v>78</v>
      </c>
      <c r="D53" t="s">
        <v>79</v>
      </c>
      <c r="E53" t="s">
        <v>109</v>
      </c>
      <c r="F53" t="s">
        <v>138</v>
      </c>
      <c r="G53" t="s">
        <v>105</v>
      </c>
      <c r="H53">
        <v>1</v>
      </c>
      <c r="I53" t="s">
        <v>10</v>
      </c>
      <c r="J53">
        <v>366</v>
      </c>
      <c r="K53" t="s">
        <v>88</v>
      </c>
      <c r="L53">
        <v>2000</v>
      </c>
      <c r="M53" s="2">
        <v>18600.28</v>
      </c>
      <c r="N53" t="s">
        <v>106</v>
      </c>
      <c r="O53" s="2">
        <v>137.6728</v>
      </c>
      <c r="P53" t="s">
        <v>107</v>
      </c>
    </row>
    <row r="54" spans="1:16" x14ac:dyDescent="0.25">
      <c r="A54" s="1">
        <v>45722</v>
      </c>
      <c r="B54" t="s">
        <v>139</v>
      </c>
      <c r="C54" t="s">
        <v>78</v>
      </c>
      <c r="D54" t="s">
        <v>79</v>
      </c>
      <c r="E54" t="s">
        <v>109</v>
      </c>
      <c r="F54" t="s">
        <v>140</v>
      </c>
      <c r="G54" t="s">
        <v>105</v>
      </c>
      <c r="H54">
        <v>1</v>
      </c>
      <c r="I54" t="s">
        <v>10</v>
      </c>
      <c r="J54">
        <v>366</v>
      </c>
      <c r="K54" t="s">
        <v>88</v>
      </c>
      <c r="L54">
        <v>2000</v>
      </c>
      <c r="M54" s="2">
        <v>17728.150000000001</v>
      </c>
      <c r="N54" t="s">
        <v>106</v>
      </c>
      <c r="O54" s="2">
        <v>131.21770000000001</v>
      </c>
      <c r="P54" t="s">
        <v>107</v>
      </c>
    </row>
    <row r="55" spans="1:16" x14ac:dyDescent="0.25">
      <c r="A55" s="1">
        <v>45722</v>
      </c>
      <c r="B55" t="s">
        <v>141</v>
      </c>
      <c r="C55" t="s">
        <v>78</v>
      </c>
      <c r="D55" t="s">
        <v>79</v>
      </c>
      <c r="E55" t="s">
        <v>109</v>
      </c>
      <c r="F55" t="s">
        <v>142</v>
      </c>
      <c r="G55" t="s">
        <v>105</v>
      </c>
      <c r="H55">
        <v>1</v>
      </c>
      <c r="I55" t="s">
        <v>10</v>
      </c>
      <c r="J55">
        <v>366</v>
      </c>
      <c r="K55" t="s">
        <v>88</v>
      </c>
      <c r="L55">
        <v>2000</v>
      </c>
      <c r="M55" s="2">
        <v>36328.44</v>
      </c>
      <c r="N55" t="s">
        <v>106</v>
      </c>
      <c r="O55" s="2">
        <v>268.89060000000001</v>
      </c>
      <c r="P55" t="s">
        <v>107</v>
      </c>
    </row>
    <row r="56" spans="1:16" x14ac:dyDescent="0.25">
      <c r="A56" s="1">
        <v>45722</v>
      </c>
      <c r="B56" t="s">
        <v>143</v>
      </c>
      <c r="C56" t="s">
        <v>78</v>
      </c>
      <c r="D56" t="s">
        <v>79</v>
      </c>
      <c r="E56" t="s">
        <v>109</v>
      </c>
      <c r="F56" t="s">
        <v>144</v>
      </c>
      <c r="G56" t="s">
        <v>105</v>
      </c>
      <c r="H56">
        <v>1</v>
      </c>
      <c r="I56" t="s">
        <v>10</v>
      </c>
      <c r="J56">
        <v>366</v>
      </c>
      <c r="K56" t="s">
        <v>88</v>
      </c>
      <c r="L56">
        <v>2000</v>
      </c>
      <c r="M56" s="2">
        <v>11346.45</v>
      </c>
      <c r="N56" t="s">
        <v>106</v>
      </c>
      <c r="O56" s="2">
        <v>83.982519999999994</v>
      </c>
      <c r="P56" t="s">
        <v>107</v>
      </c>
    </row>
    <row r="57" spans="1:16" x14ac:dyDescent="0.25">
      <c r="A57" s="1">
        <v>45722</v>
      </c>
      <c r="B57" t="s">
        <v>145</v>
      </c>
      <c r="C57" t="s">
        <v>78</v>
      </c>
      <c r="D57" t="s">
        <v>79</v>
      </c>
      <c r="E57" t="s">
        <v>109</v>
      </c>
      <c r="F57" t="s">
        <v>146</v>
      </c>
      <c r="G57" t="s">
        <v>105</v>
      </c>
      <c r="H57">
        <v>1</v>
      </c>
      <c r="I57" t="s">
        <v>10</v>
      </c>
      <c r="J57">
        <v>366</v>
      </c>
      <c r="K57" t="s">
        <v>88</v>
      </c>
      <c r="L57">
        <v>2000</v>
      </c>
      <c r="M57" s="2">
        <v>8947.9709999999995</v>
      </c>
      <c r="N57" t="s">
        <v>106</v>
      </c>
      <c r="O57" s="2">
        <v>66.229789999999994</v>
      </c>
      <c r="P57" t="s">
        <v>107</v>
      </c>
    </row>
    <row r="58" spans="1:16" x14ac:dyDescent="0.25">
      <c r="A58" s="1">
        <v>45722</v>
      </c>
      <c r="B58" t="s">
        <v>147</v>
      </c>
      <c r="C58" t="s">
        <v>78</v>
      </c>
      <c r="D58" t="s">
        <v>79</v>
      </c>
      <c r="E58" t="s">
        <v>109</v>
      </c>
      <c r="F58" t="s">
        <v>148</v>
      </c>
      <c r="G58" t="s">
        <v>105</v>
      </c>
      <c r="H58">
        <v>1</v>
      </c>
      <c r="I58" t="s">
        <v>10</v>
      </c>
      <c r="J58">
        <v>366</v>
      </c>
      <c r="K58" t="s">
        <v>88</v>
      </c>
      <c r="L58">
        <v>2000</v>
      </c>
      <c r="M58" s="2">
        <v>8947.9709999999995</v>
      </c>
      <c r="N58" t="s">
        <v>106</v>
      </c>
      <c r="O58" s="2">
        <v>66.229789999999994</v>
      </c>
      <c r="P58" t="s">
        <v>107</v>
      </c>
    </row>
    <row r="59" spans="1:16" x14ac:dyDescent="0.25">
      <c r="A59" s="1">
        <v>45722</v>
      </c>
      <c r="B59" t="s">
        <v>149</v>
      </c>
      <c r="C59" t="s">
        <v>78</v>
      </c>
      <c r="D59" t="s">
        <v>79</v>
      </c>
      <c r="E59" t="s">
        <v>109</v>
      </c>
      <c r="F59" t="s">
        <v>150</v>
      </c>
      <c r="G59" t="s">
        <v>105</v>
      </c>
      <c r="H59">
        <v>1</v>
      </c>
      <c r="I59" t="s">
        <v>10</v>
      </c>
      <c r="J59">
        <v>366</v>
      </c>
      <c r="K59" t="s">
        <v>88</v>
      </c>
      <c r="L59">
        <v>2000</v>
      </c>
      <c r="M59" s="2">
        <v>0</v>
      </c>
      <c r="N59" t="s">
        <v>106</v>
      </c>
      <c r="O59" s="2">
        <v>0</v>
      </c>
      <c r="P59" t="s">
        <v>107</v>
      </c>
    </row>
    <row r="60" spans="1:16" x14ac:dyDescent="0.25">
      <c r="A60" s="1">
        <v>45722</v>
      </c>
      <c r="B60" t="s">
        <v>151</v>
      </c>
      <c r="C60" t="s">
        <v>78</v>
      </c>
      <c r="D60" t="s">
        <v>79</v>
      </c>
      <c r="E60" t="s">
        <v>109</v>
      </c>
      <c r="F60" t="s">
        <v>152</v>
      </c>
      <c r="G60" t="s">
        <v>105</v>
      </c>
      <c r="H60">
        <v>1</v>
      </c>
      <c r="I60" t="s">
        <v>10</v>
      </c>
      <c r="J60">
        <v>366</v>
      </c>
      <c r="K60" t="s">
        <v>88</v>
      </c>
      <c r="L60">
        <v>2000</v>
      </c>
      <c r="M60" s="2">
        <v>0</v>
      </c>
      <c r="N60" t="s">
        <v>106</v>
      </c>
      <c r="O60" s="2">
        <v>0</v>
      </c>
      <c r="P60" t="s">
        <v>107</v>
      </c>
    </row>
    <row r="61" spans="1:16" x14ac:dyDescent="0.25">
      <c r="A61" s="1">
        <v>45722</v>
      </c>
      <c r="B61" t="s">
        <v>153</v>
      </c>
      <c r="C61" t="s">
        <v>78</v>
      </c>
      <c r="D61" t="s">
        <v>79</v>
      </c>
      <c r="E61" t="s">
        <v>109</v>
      </c>
      <c r="F61" t="s">
        <v>154</v>
      </c>
      <c r="G61" t="s">
        <v>105</v>
      </c>
      <c r="H61">
        <v>1</v>
      </c>
      <c r="I61" t="s">
        <v>10</v>
      </c>
      <c r="J61">
        <v>366</v>
      </c>
      <c r="K61" t="s">
        <v>88</v>
      </c>
      <c r="L61">
        <v>2000</v>
      </c>
      <c r="M61" s="2">
        <v>0</v>
      </c>
      <c r="N61" t="s">
        <v>106</v>
      </c>
      <c r="O61" s="2">
        <v>0</v>
      </c>
      <c r="P61" t="s">
        <v>107</v>
      </c>
    </row>
    <row r="62" spans="1:16" x14ac:dyDescent="0.25">
      <c r="A62" s="1">
        <v>45722</v>
      </c>
      <c r="B62" t="s">
        <v>155</v>
      </c>
      <c r="C62" t="s">
        <v>78</v>
      </c>
      <c r="D62" t="s">
        <v>79</v>
      </c>
      <c r="E62" t="s">
        <v>109</v>
      </c>
      <c r="F62" t="s">
        <v>156</v>
      </c>
      <c r="G62" t="s">
        <v>105</v>
      </c>
      <c r="H62">
        <v>1</v>
      </c>
      <c r="I62" t="s">
        <v>10</v>
      </c>
      <c r="J62">
        <v>366</v>
      </c>
      <c r="K62" t="s">
        <v>88</v>
      </c>
      <c r="L62">
        <v>2000</v>
      </c>
      <c r="M62" s="2">
        <v>0</v>
      </c>
      <c r="N62" t="s">
        <v>106</v>
      </c>
      <c r="O62" s="2">
        <v>0</v>
      </c>
      <c r="P62" t="s">
        <v>107</v>
      </c>
    </row>
    <row r="63" spans="1:16" x14ac:dyDescent="0.25">
      <c r="A63" s="1">
        <v>45722</v>
      </c>
      <c r="B63" t="s">
        <v>157</v>
      </c>
      <c r="C63" t="s">
        <v>78</v>
      </c>
      <c r="D63" t="s">
        <v>79</v>
      </c>
      <c r="E63" t="s">
        <v>109</v>
      </c>
      <c r="F63" t="s">
        <v>158</v>
      </c>
      <c r="G63" t="s">
        <v>105</v>
      </c>
      <c r="H63">
        <v>1</v>
      </c>
      <c r="I63" t="s">
        <v>10</v>
      </c>
      <c r="J63">
        <v>366</v>
      </c>
      <c r="K63" t="s">
        <v>88</v>
      </c>
      <c r="L63">
        <v>2000</v>
      </c>
      <c r="M63" s="2">
        <v>0</v>
      </c>
      <c r="N63" t="s">
        <v>106</v>
      </c>
      <c r="O63" s="2">
        <v>0</v>
      </c>
      <c r="P63" t="s">
        <v>107</v>
      </c>
    </row>
    <row r="64" spans="1:16" x14ac:dyDescent="0.25">
      <c r="A64" s="1">
        <v>45722</v>
      </c>
      <c r="B64" t="s">
        <v>159</v>
      </c>
      <c r="C64" t="s">
        <v>78</v>
      </c>
      <c r="D64" t="s">
        <v>79</v>
      </c>
      <c r="E64" t="s">
        <v>109</v>
      </c>
      <c r="F64" t="s">
        <v>160</v>
      </c>
      <c r="G64" t="s">
        <v>105</v>
      </c>
      <c r="H64">
        <v>1</v>
      </c>
      <c r="I64" t="s">
        <v>10</v>
      </c>
      <c r="J64">
        <v>366</v>
      </c>
      <c r="K64" t="s">
        <v>88</v>
      </c>
      <c r="L64">
        <v>2000</v>
      </c>
      <c r="M64" s="2">
        <v>0</v>
      </c>
      <c r="N64" t="s">
        <v>106</v>
      </c>
      <c r="O64" s="2">
        <v>0</v>
      </c>
      <c r="P64" t="s">
        <v>107</v>
      </c>
    </row>
    <row r="65" spans="1:16" x14ac:dyDescent="0.25">
      <c r="A65" s="1">
        <v>45722</v>
      </c>
      <c r="B65" t="s">
        <v>161</v>
      </c>
      <c r="C65" t="s">
        <v>78</v>
      </c>
      <c r="D65" t="s">
        <v>79</v>
      </c>
      <c r="E65" t="s">
        <v>109</v>
      </c>
      <c r="F65" t="s">
        <v>162</v>
      </c>
      <c r="G65" t="s">
        <v>105</v>
      </c>
      <c r="H65">
        <v>1</v>
      </c>
      <c r="I65" t="s">
        <v>10</v>
      </c>
      <c r="J65">
        <v>366</v>
      </c>
      <c r="K65" t="s">
        <v>88</v>
      </c>
      <c r="L65">
        <v>2000</v>
      </c>
      <c r="M65" s="2">
        <v>0</v>
      </c>
      <c r="N65" t="s">
        <v>106</v>
      </c>
      <c r="O65" s="2">
        <v>0</v>
      </c>
      <c r="P65" t="s">
        <v>107</v>
      </c>
    </row>
    <row r="66" spans="1:16" x14ac:dyDescent="0.25">
      <c r="A66" s="1">
        <v>45722</v>
      </c>
      <c r="B66" t="s">
        <v>163</v>
      </c>
      <c r="C66" t="s">
        <v>78</v>
      </c>
      <c r="D66" t="s">
        <v>79</v>
      </c>
      <c r="E66" t="s">
        <v>109</v>
      </c>
      <c r="F66" t="s">
        <v>164</v>
      </c>
      <c r="G66" t="s">
        <v>105</v>
      </c>
      <c r="H66">
        <v>1</v>
      </c>
      <c r="I66" t="s">
        <v>10</v>
      </c>
      <c r="J66">
        <v>366</v>
      </c>
      <c r="K66" t="s">
        <v>88</v>
      </c>
      <c r="L66">
        <v>2000</v>
      </c>
      <c r="M66" s="2">
        <v>0</v>
      </c>
      <c r="N66" t="s">
        <v>106</v>
      </c>
      <c r="O66" s="2">
        <v>0</v>
      </c>
      <c r="P66" t="s">
        <v>107</v>
      </c>
    </row>
    <row r="67" spans="1:16" x14ac:dyDescent="0.25">
      <c r="A67" s="1">
        <v>45722</v>
      </c>
      <c r="B67" t="s">
        <v>165</v>
      </c>
      <c r="C67" t="s">
        <v>78</v>
      </c>
      <c r="D67" t="s">
        <v>79</v>
      </c>
      <c r="E67" t="s">
        <v>109</v>
      </c>
      <c r="F67" t="s">
        <v>166</v>
      </c>
      <c r="G67" t="s">
        <v>105</v>
      </c>
      <c r="H67">
        <v>1</v>
      </c>
      <c r="I67" t="s">
        <v>10</v>
      </c>
      <c r="J67">
        <v>366</v>
      </c>
      <c r="K67" t="s">
        <v>88</v>
      </c>
      <c r="L67">
        <v>2000</v>
      </c>
      <c r="M67" s="2">
        <v>0</v>
      </c>
      <c r="N67" t="s">
        <v>106</v>
      </c>
      <c r="O67" s="2">
        <v>0</v>
      </c>
      <c r="P67" t="s">
        <v>107</v>
      </c>
    </row>
    <row r="68" spans="1:16" x14ac:dyDescent="0.25">
      <c r="A68" s="1">
        <v>45722</v>
      </c>
      <c r="B68" t="s">
        <v>167</v>
      </c>
      <c r="C68" t="s">
        <v>78</v>
      </c>
      <c r="D68" t="s">
        <v>79</v>
      </c>
      <c r="E68" t="s">
        <v>109</v>
      </c>
      <c r="F68" t="s">
        <v>168</v>
      </c>
      <c r="G68" t="s">
        <v>105</v>
      </c>
      <c r="H68">
        <v>1</v>
      </c>
      <c r="I68" t="s">
        <v>10</v>
      </c>
      <c r="J68">
        <v>366</v>
      </c>
      <c r="K68" t="s">
        <v>88</v>
      </c>
      <c r="L68">
        <v>2000</v>
      </c>
      <c r="M68" s="2">
        <v>0</v>
      </c>
      <c r="N68" t="s">
        <v>106</v>
      </c>
      <c r="O68" s="2">
        <v>0</v>
      </c>
      <c r="P68" t="s">
        <v>107</v>
      </c>
    </row>
    <row r="69" spans="1:16" x14ac:dyDescent="0.25">
      <c r="A69" s="1">
        <v>45722</v>
      </c>
      <c r="B69" t="s">
        <v>169</v>
      </c>
      <c r="C69" t="s">
        <v>78</v>
      </c>
      <c r="D69" t="s">
        <v>79</v>
      </c>
      <c r="E69" t="s">
        <v>109</v>
      </c>
      <c r="F69" t="s">
        <v>170</v>
      </c>
      <c r="G69" t="s">
        <v>105</v>
      </c>
      <c r="H69">
        <v>1</v>
      </c>
      <c r="I69" t="s">
        <v>10</v>
      </c>
      <c r="J69">
        <v>366</v>
      </c>
      <c r="K69" t="s">
        <v>88</v>
      </c>
      <c r="L69">
        <v>2000</v>
      </c>
      <c r="M69" s="2">
        <v>0</v>
      </c>
      <c r="N69" t="s">
        <v>106</v>
      </c>
      <c r="O69" s="2">
        <v>0</v>
      </c>
      <c r="P69" t="s">
        <v>107</v>
      </c>
    </row>
    <row r="70" spans="1:16" x14ac:dyDescent="0.25">
      <c r="A70" s="1">
        <v>45722</v>
      </c>
      <c r="B70" t="s">
        <v>171</v>
      </c>
      <c r="C70" t="s">
        <v>78</v>
      </c>
      <c r="D70" t="s">
        <v>79</v>
      </c>
      <c r="E70" t="s">
        <v>109</v>
      </c>
      <c r="F70" t="s">
        <v>172</v>
      </c>
      <c r="G70" t="s">
        <v>105</v>
      </c>
      <c r="H70">
        <v>1</v>
      </c>
      <c r="I70" t="s">
        <v>10</v>
      </c>
      <c r="J70">
        <v>366</v>
      </c>
      <c r="K70" t="s">
        <v>88</v>
      </c>
      <c r="L70">
        <v>2000</v>
      </c>
      <c r="M70" s="2">
        <v>20294.47</v>
      </c>
      <c r="N70" t="s">
        <v>106</v>
      </c>
      <c r="O70" s="2">
        <v>150.21270000000001</v>
      </c>
      <c r="P70" t="s">
        <v>107</v>
      </c>
    </row>
    <row r="71" spans="1:16" x14ac:dyDescent="0.25">
      <c r="A71" s="1">
        <v>45722</v>
      </c>
      <c r="B71" t="s">
        <v>173</v>
      </c>
      <c r="C71" t="s">
        <v>78</v>
      </c>
      <c r="D71" t="s">
        <v>79</v>
      </c>
      <c r="E71" t="s">
        <v>109</v>
      </c>
      <c r="F71" t="s">
        <v>174</v>
      </c>
      <c r="G71" t="s">
        <v>105</v>
      </c>
      <c r="H71">
        <v>1</v>
      </c>
      <c r="I71" t="s">
        <v>10</v>
      </c>
      <c r="J71">
        <v>366</v>
      </c>
      <c r="K71" t="s">
        <v>88</v>
      </c>
      <c r="L71">
        <v>2000</v>
      </c>
      <c r="M71" s="2">
        <v>0.49726910000000002</v>
      </c>
      <c r="N71" t="s">
        <v>106</v>
      </c>
      <c r="O71" s="2">
        <v>3.680614E-3</v>
      </c>
      <c r="P71" t="s">
        <v>107</v>
      </c>
    </row>
    <row r="72" spans="1:16" x14ac:dyDescent="0.25">
      <c r="A72" s="1">
        <v>45722</v>
      </c>
      <c r="B72" t="s">
        <v>175</v>
      </c>
      <c r="C72" t="s">
        <v>78</v>
      </c>
      <c r="D72" t="s">
        <v>79</v>
      </c>
      <c r="E72" t="s">
        <v>109</v>
      </c>
      <c r="F72" t="s">
        <v>176</v>
      </c>
      <c r="G72" t="s">
        <v>105</v>
      </c>
      <c r="H72">
        <v>1</v>
      </c>
      <c r="I72" t="s">
        <v>10</v>
      </c>
      <c r="J72">
        <v>366</v>
      </c>
      <c r="K72" t="s">
        <v>88</v>
      </c>
      <c r="L72">
        <v>2000</v>
      </c>
      <c r="M72" s="2">
        <v>6392.3119999999999</v>
      </c>
      <c r="N72" t="s">
        <v>106</v>
      </c>
      <c r="O72" s="2">
        <v>47.313679999999998</v>
      </c>
      <c r="P72" t="s">
        <v>107</v>
      </c>
    </row>
    <row r="73" spans="1:16" x14ac:dyDescent="0.25">
      <c r="A73" s="1">
        <v>45722</v>
      </c>
      <c r="B73" t="s">
        <v>177</v>
      </c>
      <c r="C73" t="s">
        <v>78</v>
      </c>
      <c r="D73" t="s">
        <v>79</v>
      </c>
      <c r="E73" t="s">
        <v>109</v>
      </c>
      <c r="F73" t="s">
        <v>178</v>
      </c>
      <c r="G73" t="s">
        <v>105</v>
      </c>
      <c r="H73">
        <v>1</v>
      </c>
      <c r="I73" t="s">
        <v>10</v>
      </c>
      <c r="J73">
        <v>366</v>
      </c>
      <c r="K73" t="s">
        <v>88</v>
      </c>
      <c r="L73">
        <v>2000</v>
      </c>
      <c r="M73" s="2">
        <v>0</v>
      </c>
      <c r="N73" t="s">
        <v>106</v>
      </c>
      <c r="O73" s="2">
        <v>0</v>
      </c>
      <c r="P73" t="s">
        <v>107</v>
      </c>
    </row>
    <row r="74" spans="1:16" x14ac:dyDescent="0.25">
      <c r="A74" s="1">
        <v>45722</v>
      </c>
      <c r="B74" t="s">
        <v>179</v>
      </c>
      <c r="C74" t="s">
        <v>78</v>
      </c>
      <c r="D74" t="s">
        <v>79</v>
      </c>
      <c r="E74" t="s">
        <v>109</v>
      </c>
      <c r="F74" t="s">
        <v>180</v>
      </c>
      <c r="G74" t="s">
        <v>105</v>
      </c>
      <c r="H74">
        <v>1</v>
      </c>
      <c r="I74" t="s">
        <v>10</v>
      </c>
      <c r="J74">
        <v>366</v>
      </c>
      <c r="K74" t="s">
        <v>88</v>
      </c>
      <c r="L74">
        <v>2000</v>
      </c>
      <c r="M74" s="2">
        <v>0</v>
      </c>
      <c r="N74" t="s">
        <v>106</v>
      </c>
      <c r="O74" s="2">
        <v>0</v>
      </c>
      <c r="P74" t="s">
        <v>107</v>
      </c>
    </row>
    <row r="75" spans="1:16" x14ac:dyDescent="0.25">
      <c r="A75" s="1">
        <v>45722</v>
      </c>
      <c r="B75" t="s">
        <v>181</v>
      </c>
      <c r="C75" t="s">
        <v>78</v>
      </c>
      <c r="D75" t="s">
        <v>79</v>
      </c>
      <c r="E75" t="s">
        <v>109</v>
      </c>
      <c r="F75" t="s">
        <v>182</v>
      </c>
      <c r="G75" t="s">
        <v>105</v>
      </c>
      <c r="H75">
        <v>1</v>
      </c>
      <c r="I75" t="s">
        <v>10</v>
      </c>
      <c r="J75">
        <v>366</v>
      </c>
      <c r="K75" t="s">
        <v>88</v>
      </c>
      <c r="L75">
        <v>2000</v>
      </c>
      <c r="M75" s="2">
        <v>0</v>
      </c>
      <c r="N75" t="s">
        <v>106</v>
      </c>
      <c r="O75" s="2">
        <v>0</v>
      </c>
      <c r="P75" t="s">
        <v>107</v>
      </c>
    </row>
    <row r="76" spans="1:16" x14ac:dyDescent="0.25">
      <c r="A76" s="1">
        <v>45722</v>
      </c>
      <c r="B76" t="s">
        <v>183</v>
      </c>
      <c r="C76" t="s">
        <v>78</v>
      </c>
      <c r="D76" t="s">
        <v>79</v>
      </c>
      <c r="E76" t="s">
        <v>109</v>
      </c>
      <c r="F76" t="s">
        <v>184</v>
      </c>
      <c r="G76" t="s">
        <v>105</v>
      </c>
      <c r="H76">
        <v>1</v>
      </c>
      <c r="I76" t="s">
        <v>10</v>
      </c>
      <c r="J76">
        <v>366</v>
      </c>
      <c r="K76" t="s">
        <v>88</v>
      </c>
      <c r="L76">
        <v>2000</v>
      </c>
      <c r="M76" s="2">
        <v>0</v>
      </c>
      <c r="N76" t="s">
        <v>106</v>
      </c>
      <c r="O76" s="2">
        <v>0</v>
      </c>
      <c r="P76" t="s">
        <v>107</v>
      </c>
    </row>
    <row r="77" spans="1:16" x14ac:dyDescent="0.25">
      <c r="A77" s="1">
        <v>45722</v>
      </c>
      <c r="B77" t="s">
        <v>183</v>
      </c>
      <c r="C77" t="s">
        <v>78</v>
      </c>
      <c r="D77" t="s">
        <v>79</v>
      </c>
      <c r="E77" t="s">
        <v>109</v>
      </c>
      <c r="F77" t="s">
        <v>185</v>
      </c>
      <c r="G77" t="s">
        <v>105</v>
      </c>
      <c r="H77">
        <v>1</v>
      </c>
      <c r="I77" t="s">
        <v>10</v>
      </c>
      <c r="J77">
        <v>366</v>
      </c>
      <c r="K77" t="s">
        <v>88</v>
      </c>
      <c r="L77">
        <v>2000</v>
      </c>
      <c r="M77" s="2">
        <v>0</v>
      </c>
      <c r="N77" t="s">
        <v>106</v>
      </c>
      <c r="O77" s="2">
        <v>0</v>
      </c>
      <c r="P77" t="s">
        <v>107</v>
      </c>
    </row>
    <row r="78" spans="1:16" x14ac:dyDescent="0.25">
      <c r="A78" s="1">
        <v>45722</v>
      </c>
      <c r="B78" t="s">
        <v>186</v>
      </c>
      <c r="C78" t="s">
        <v>78</v>
      </c>
      <c r="D78" t="s">
        <v>79</v>
      </c>
      <c r="E78" t="s">
        <v>109</v>
      </c>
      <c r="F78" t="s">
        <v>187</v>
      </c>
      <c r="G78" t="s">
        <v>105</v>
      </c>
      <c r="H78">
        <v>1</v>
      </c>
      <c r="I78" t="s">
        <v>10</v>
      </c>
      <c r="J78">
        <v>366</v>
      </c>
      <c r="K78" t="s">
        <v>88</v>
      </c>
      <c r="L78">
        <v>2000</v>
      </c>
      <c r="M78" s="2">
        <v>0</v>
      </c>
      <c r="N78" t="s">
        <v>106</v>
      </c>
      <c r="O78" s="2">
        <v>0</v>
      </c>
      <c r="P78" t="s">
        <v>107</v>
      </c>
    </row>
    <row r="79" spans="1:16" x14ac:dyDescent="0.25">
      <c r="A79" s="1">
        <v>45722</v>
      </c>
      <c r="B79" t="s">
        <v>188</v>
      </c>
      <c r="C79" t="s">
        <v>78</v>
      </c>
      <c r="D79" t="s">
        <v>79</v>
      </c>
      <c r="E79" t="s">
        <v>109</v>
      </c>
      <c r="F79" t="s">
        <v>189</v>
      </c>
      <c r="G79" t="s">
        <v>105</v>
      </c>
      <c r="H79">
        <v>1</v>
      </c>
      <c r="I79" t="s">
        <v>10</v>
      </c>
      <c r="J79">
        <v>366</v>
      </c>
      <c r="K79" t="s">
        <v>88</v>
      </c>
      <c r="L79">
        <v>2000</v>
      </c>
      <c r="M79" s="2">
        <v>0</v>
      </c>
      <c r="N79" t="s">
        <v>106</v>
      </c>
      <c r="O79" s="2">
        <v>0</v>
      </c>
      <c r="P79" t="s">
        <v>107</v>
      </c>
    </row>
    <row r="80" spans="1:16" x14ac:dyDescent="0.25">
      <c r="A80" s="1">
        <v>45722</v>
      </c>
      <c r="B80" t="s">
        <v>190</v>
      </c>
      <c r="C80" t="s">
        <v>78</v>
      </c>
      <c r="D80" t="s">
        <v>79</v>
      </c>
      <c r="E80" t="s">
        <v>109</v>
      </c>
      <c r="F80" t="s">
        <v>191</v>
      </c>
      <c r="G80" t="s">
        <v>105</v>
      </c>
      <c r="H80">
        <v>1</v>
      </c>
      <c r="I80" t="s">
        <v>10</v>
      </c>
      <c r="J80">
        <v>366</v>
      </c>
      <c r="K80" t="s">
        <v>88</v>
      </c>
      <c r="L80">
        <v>2000</v>
      </c>
      <c r="M80" s="2">
        <v>0</v>
      </c>
      <c r="N80" t="s">
        <v>106</v>
      </c>
      <c r="O80" s="2">
        <v>0</v>
      </c>
      <c r="P80" t="s">
        <v>107</v>
      </c>
    </row>
    <row r="81" spans="1:18" x14ac:dyDescent="0.25">
      <c r="A81" s="1">
        <v>45722</v>
      </c>
      <c r="B81" t="s">
        <v>192</v>
      </c>
      <c r="C81" t="s">
        <v>78</v>
      </c>
      <c r="D81" t="s">
        <v>79</v>
      </c>
      <c r="E81" t="s">
        <v>109</v>
      </c>
      <c r="F81" t="s">
        <v>193</v>
      </c>
      <c r="G81" t="s">
        <v>105</v>
      </c>
      <c r="H81">
        <v>1</v>
      </c>
      <c r="I81" t="s">
        <v>10</v>
      </c>
      <c r="J81">
        <v>366</v>
      </c>
      <c r="K81" t="s">
        <v>88</v>
      </c>
      <c r="L81">
        <v>2000</v>
      </c>
      <c r="M81" s="2">
        <v>0</v>
      </c>
      <c r="N81" t="s">
        <v>106</v>
      </c>
      <c r="O81" s="2">
        <v>0</v>
      </c>
      <c r="P81" t="s">
        <v>107</v>
      </c>
    </row>
    <row r="82" spans="1:18" x14ac:dyDescent="0.25">
      <c r="A82" s="1">
        <v>45722</v>
      </c>
      <c r="B82" t="s">
        <v>194</v>
      </c>
      <c r="C82" t="s">
        <v>78</v>
      </c>
      <c r="D82" t="s">
        <v>79</v>
      </c>
      <c r="E82" t="s">
        <v>109</v>
      </c>
      <c r="F82" t="s">
        <v>195</v>
      </c>
      <c r="G82" t="s">
        <v>105</v>
      </c>
      <c r="H82">
        <v>1</v>
      </c>
      <c r="I82" t="s">
        <v>10</v>
      </c>
      <c r="J82">
        <v>366</v>
      </c>
      <c r="K82" t="s">
        <v>88</v>
      </c>
      <c r="L82">
        <v>2000</v>
      </c>
      <c r="M82" s="2">
        <v>0</v>
      </c>
      <c r="N82" t="s">
        <v>106</v>
      </c>
      <c r="O82" s="2">
        <v>0</v>
      </c>
      <c r="P82" t="s">
        <v>107</v>
      </c>
    </row>
    <row r="83" spans="1:18" x14ac:dyDescent="0.25">
      <c r="A83" s="1">
        <v>45722</v>
      </c>
      <c r="B83" t="s">
        <v>196</v>
      </c>
      <c r="C83" t="s">
        <v>78</v>
      </c>
      <c r="D83" t="s">
        <v>79</v>
      </c>
      <c r="E83" t="s">
        <v>109</v>
      </c>
      <c r="F83" t="s">
        <v>197</v>
      </c>
      <c r="G83" t="s">
        <v>105</v>
      </c>
      <c r="H83">
        <v>1</v>
      </c>
      <c r="I83" t="s">
        <v>10</v>
      </c>
      <c r="J83">
        <v>366</v>
      </c>
      <c r="K83" t="s">
        <v>88</v>
      </c>
      <c r="L83">
        <v>2000</v>
      </c>
      <c r="M83" s="2">
        <v>0</v>
      </c>
      <c r="N83" t="s">
        <v>106</v>
      </c>
      <c r="O83" s="2">
        <v>0</v>
      </c>
      <c r="P83" t="s">
        <v>107</v>
      </c>
    </row>
    <row r="84" spans="1:18" x14ac:dyDescent="0.25">
      <c r="A84" s="1">
        <v>45722</v>
      </c>
      <c r="B84" t="s">
        <v>198</v>
      </c>
      <c r="C84" t="s">
        <v>78</v>
      </c>
      <c r="D84" t="s">
        <v>79</v>
      </c>
      <c r="E84" t="s">
        <v>109</v>
      </c>
      <c r="F84" t="s">
        <v>199</v>
      </c>
      <c r="G84" t="s">
        <v>105</v>
      </c>
      <c r="H84">
        <v>1</v>
      </c>
      <c r="I84" t="s">
        <v>10</v>
      </c>
      <c r="J84">
        <v>366</v>
      </c>
      <c r="K84" t="s">
        <v>88</v>
      </c>
      <c r="L84">
        <v>2000</v>
      </c>
      <c r="M84" s="2">
        <v>0</v>
      </c>
      <c r="N84" t="s">
        <v>106</v>
      </c>
      <c r="O84" s="2">
        <v>0</v>
      </c>
      <c r="P84" t="s">
        <v>107</v>
      </c>
    </row>
    <row r="85" spans="1:18" x14ac:dyDescent="0.25">
      <c r="A85" s="1">
        <v>45722</v>
      </c>
      <c r="B85" t="s">
        <v>200</v>
      </c>
      <c r="C85" t="s">
        <v>78</v>
      </c>
      <c r="D85" t="s">
        <v>79</v>
      </c>
      <c r="E85" t="s">
        <v>109</v>
      </c>
      <c r="F85" t="s">
        <v>201</v>
      </c>
      <c r="G85" t="s">
        <v>105</v>
      </c>
      <c r="H85">
        <v>1</v>
      </c>
      <c r="I85" t="s">
        <v>10</v>
      </c>
      <c r="J85">
        <v>366</v>
      </c>
      <c r="K85" t="s">
        <v>88</v>
      </c>
      <c r="L85">
        <v>2000</v>
      </c>
      <c r="M85" s="2">
        <v>0</v>
      </c>
      <c r="N85" t="s">
        <v>106</v>
      </c>
      <c r="O85" s="2">
        <v>0</v>
      </c>
      <c r="P85" t="s">
        <v>107</v>
      </c>
    </row>
    <row r="86" spans="1:18" x14ac:dyDescent="0.25">
      <c r="A86" s="1">
        <v>45722</v>
      </c>
      <c r="B86" t="s">
        <v>202</v>
      </c>
      <c r="C86" t="s">
        <v>78</v>
      </c>
      <c r="D86" t="s">
        <v>79</v>
      </c>
      <c r="E86" t="s">
        <v>109</v>
      </c>
      <c r="F86" t="s">
        <v>203</v>
      </c>
      <c r="G86" t="s">
        <v>105</v>
      </c>
      <c r="H86">
        <v>1</v>
      </c>
      <c r="I86" t="s">
        <v>10</v>
      </c>
      <c r="J86">
        <v>366</v>
      </c>
      <c r="K86" t="s">
        <v>88</v>
      </c>
      <c r="L86">
        <v>2000</v>
      </c>
      <c r="M86" s="2">
        <v>0</v>
      </c>
      <c r="N86" t="s">
        <v>106</v>
      </c>
      <c r="O86" s="2">
        <v>0</v>
      </c>
      <c r="P86" t="s">
        <v>107</v>
      </c>
    </row>
    <row r="87" spans="1:18" x14ac:dyDescent="0.25">
      <c r="A87" s="1">
        <v>45722</v>
      </c>
      <c r="B87" t="s">
        <v>204</v>
      </c>
      <c r="C87" t="s">
        <v>78</v>
      </c>
      <c r="D87" t="s">
        <v>79</v>
      </c>
      <c r="E87" t="s">
        <v>109</v>
      </c>
      <c r="F87" t="s">
        <v>205</v>
      </c>
      <c r="G87" t="s">
        <v>105</v>
      </c>
      <c r="H87">
        <v>1</v>
      </c>
      <c r="I87" t="s">
        <v>10</v>
      </c>
      <c r="J87">
        <v>366</v>
      </c>
      <c r="K87" t="s">
        <v>88</v>
      </c>
      <c r="L87">
        <v>2000</v>
      </c>
      <c r="M87" s="2">
        <v>18600.28</v>
      </c>
      <c r="N87" t="s">
        <v>106</v>
      </c>
      <c r="O87" s="2">
        <v>137.6728</v>
      </c>
      <c r="P87" t="s">
        <v>107</v>
      </c>
    </row>
    <row r="88" spans="1:18" x14ac:dyDescent="0.25">
      <c r="A88" s="1">
        <v>45722</v>
      </c>
      <c r="B88" t="s">
        <v>206</v>
      </c>
      <c r="C88" t="s">
        <v>78</v>
      </c>
      <c r="D88" t="s">
        <v>79</v>
      </c>
      <c r="E88" t="s">
        <v>109</v>
      </c>
      <c r="F88" t="s">
        <v>207</v>
      </c>
      <c r="G88" t="s">
        <v>105</v>
      </c>
      <c r="H88">
        <v>1</v>
      </c>
      <c r="I88" t="s">
        <v>10</v>
      </c>
      <c r="J88">
        <v>366</v>
      </c>
      <c r="K88" t="s">
        <v>88</v>
      </c>
      <c r="L88">
        <v>2000</v>
      </c>
      <c r="M88" s="2">
        <v>17728.150000000001</v>
      </c>
      <c r="N88" t="s">
        <v>106</v>
      </c>
      <c r="O88" s="2">
        <v>131.21770000000001</v>
      </c>
      <c r="P88" t="s">
        <v>107</v>
      </c>
    </row>
    <row r="89" spans="1:18" x14ac:dyDescent="0.25">
      <c r="A89" s="1">
        <v>45722</v>
      </c>
      <c r="B89" t="s">
        <v>208</v>
      </c>
      <c r="C89" t="s">
        <v>78</v>
      </c>
      <c r="D89" t="s">
        <v>79</v>
      </c>
      <c r="E89" t="s">
        <v>109</v>
      </c>
      <c r="F89" t="s">
        <v>209</v>
      </c>
      <c r="G89" t="s">
        <v>105</v>
      </c>
      <c r="H89">
        <v>1</v>
      </c>
      <c r="I89" t="s">
        <v>10</v>
      </c>
      <c r="J89">
        <v>366</v>
      </c>
      <c r="K89" t="s">
        <v>88</v>
      </c>
      <c r="L89">
        <v>2000</v>
      </c>
      <c r="M89" s="2">
        <v>55765.57</v>
      </c>
      <c r="N89" t="s">
        <v>106</v>
      </c>
      <c r="O89" s="2">
        <v>412.75749999999999</v>
      </c>
      <c r="P89" t="s">
        <v>107</v>
      </c>
    </row>
    <row r="90" spans="1:18" x14ac:dyDescent="0.25">
      <c r="A90" s="1">
        <v>45722</v>
      </c>
      <c r="B90" t="s">
        <v>210</v>
      </c>
      <c r="C90" t="s">
        <v>78</v>
      </c>
      <c r="D90" t="s">
        <v>79</v>
      </c>
      <c r="E90" t="s">
        <v>109</v>
      </c>
      <c r="F90" t="s">
        <v>211</v>
      </c>
      <c r="G90" t="s">
        <v>105</v>
      </c>
      <c r="H90">
        <v>1</v>
      </c>
      <c r="I90" t="s">
        <v>10</v>
      </c>
      <c r="J90">
        <v>366</v>
      </c>
      <c r="K90" t="s">
        <v>88</v>
      </c>
      <c r="L90">
        <v>2000</v>
      </c>
      <c r="M90" s="2">
        <v>-5.8524329999999998E-3</v>
      </c>
      <c r="N90" t="s">
        <v>106</v>
      </c>
      <c r="O90" s="2">
        <v>-4.3317679999999999E-5</v>
      </c>
      <c r="P90" t="s">
        <v>107</v>
      </c>
    </row>
    <row r="91" spans="1:18" x14ac:dyDescent="0.25">
      <c r="A91" s="1">
        <v>45722</v>
      </c>
      <c r="B91" t="s">
        <v>212</v>
      </c>
      <c r="C91" t="s">
        <v>78</v>
      </c>
      <c r="D91" t="s">
        <v>79</v>
      </c>
      <c r="E91" t="s">
        <v>109</v>
      </c>
      <c r="F91" t="s">
        <v>213</v>
      </c>
      <c r="G91" t="s">
        <v>105</v>
      </c>
      <c r="H91">
        <v>1</v>
      </c>
      <c r="I91" t="s">
        <v>10</v>
      </c>
      <c r="J91">
        <v>366</v>
      </c>
      <c r="K91" t="s">
        <v>88</v>
      </c>
      <c r="L91">
        <v>2000</v>
      </c>
      <c r="M91" s="2">
        <v>4.6930459999999998</v>
      </c>
      <c r="N91" t="s">
        <v>106</v>
      </c>
      <c r="O91" s="2">
        <v>3.4736299999999998E-2</v>
      </c>
      <c r="P91" t="s">
        <v>107</v>
      </c>
    </row>
    <row r="92" spans="1:18" x14ac:dyDescent="0.25">
      <c r="A92" s="1">
        <v>45722</v>
      </c>
      <c r="B92" t="s">
        <v>214</v>
      </c>
      <c r="C92" t="s">
        <v>78</v>
      </c>
      <c r="D92" t="s">
        <v>79</v>
      </c>
      <c r="E92" t="s">
        <v>109</v>
      </c>
      <c r="F92" t="s">
        <v>215</v>
      </c>
      <c r="G92" t="s">
        <v>105</v>
      </c>
      <c r="H92">
        <v>1</v>
      </c>
      <c r="I92" t="s">
        <v>10</v>
      </c>
      <c r="J92">
        <v>366</v>
      </c>
      <c r="K92" t="s">
        <v>88</v>
      </c>
      <c r="L92">
        <v>2000</v>
      </c>
      <c r="M92" s="2">
        <v>0</v>
      </c>
      <c r="N92" t="s">
        <v>106</v>
      </c>
      <c r="O92" s="2">
        <v>0</v>
      </c>
      <c r="P92" t="s">
        <v>107</v>
      </c>
    </row>
    <row r="93" spans="1:18" x14ac:dyDescent="0.25">
      <c r="A93" s="1">
        <v>45722</v>
      </c>
      <c r="B93" t="s">
        <v>216</v>
      </c>
      <c r="C93" t="s">
        <v>78</v>
      </c>
      <c r="D93" t="s">
        <v>79</v>
      </c>
      <c r="E93" t="s">
        <v>109</v>
      </c>
      <c r="F93" t="s">
        <v>217</v>
      </c>
      <c r="G93" t="s">
        <v>105</v>
      </c>
      <c r="H93">
        <v>1</v>
      </c>
      <c r="I93" t="s">
        <v>10</v>
      </c>
      <c r="J93">
        <v>366</v>
      </c>
      <c r="K93" t="s">
        <v>88</v>
      </c>
      <c r="L93">
        <v>2000</v>
      </c>
      <c r="M93" s="2">
        <v>0</v>
      </c>
      <c r="N93" t="s">
        <v>106</v>
      </c>
      <c r="O93" s="2">
        <v>0</v>
      </c>
      <c r="P93" t="s">
        <v>107</v>
      </c>
    </row>
    <row r="94" spans="1:18" x14ac:dyDescent="0.25">
      <c r="A94" s="1">
        <v>45722</v>
      </c>
      <c r="B94" t="s">
        <v>216</v>
      </c>
      <c r="C94" t="s">
        <v>78</v>
      </c>
      <c r="D94" t="s">
        <v>79</v>
      </c>
    </row>
    <row r="95" spans="1:18" x14ac:dyDescent="0.25">
      <c r="A95" s="1">
        <v>45722</v>
      </c>
      <c r="B95" t="s">
        <v>216</v>
      </c>
      <c r="C95" t="s">
        <v>78</v>
      </c>
      <c r="D95" t="s">
        <v>79</v>
      </c>
      <c r="E95" t="s">
        <v>80</v>
      </c>
      <c r="F95" t="s">
        <v>81</v>
      </c>
      <c r="G95" t="s">
        <v>82</v>
      </c>
      <c r="H95" t="s">
        <v>218</v>
      </c>
      <c r="I95" t="s">
        <v>219</v>
      </c>
      <c r="J95" t="s">
        <v>89</v>
      </c>
      <c r="K95" t="s">
        <v>90</v>
      </c>
      <c r="L95" t="s">
        <v>220</v>
      </c>
    </row>
    <row r="96" spans="1:18" x14ac:dyDescent="0.25">
      <c r="A96" s="1">
        <v>45722</v>
      </c>
      <c r="B96" t="s">
        <v>221</v>
      </c>
      <c r="C96" t="s">
        <v>78</v>
      </c>
      <c r="D96" t="s">
        <v>79</v>
      </c>
      <c r="E96" t="s">
        <v>102</v>
      </c>
      <c r="F96" t="s">
        <v>89</v>
      </c>
      <c r="G96" t="s">
        <v>90</v>
      </c>
      <c r="H96" t="s">
        <v>104</v>
      </c>
      <c r="I96" t="s">
        <v>105</v>
      </c>
      <c r="J96">
        <v>1</v>
      </c>
      <c r="K96" t="s">
        <v>10</v>
      </c>
      <c r="L96">
        <v>366</v>
      </c>
      <c r="M96" t="s">
        <v>88</v>
      </c>
      <c r="N96">
        <v>2000</v>
      </c>
      <c r="O96" s="2">
        <v>-3795.5059999999999</v>
      </c>
      <c r="P96" t="s">
        <v>106</v>
      </c>
      <c r="Q96" s="2">
        <v>-28.093029999999999</v>
      </c>
      <c r="R96" t="s">
        <v>107</v>
      </c>
    </row>
    <row r="97" spans="1:16" x14ac:dyDescent="0.25">
      <c r="A97" s="1">
        <v>45722</v>
      </c>
      <c r="B97" t="s">
        <v>222</v>
      </c>
      <c r="C97" t="s">
        <v>78</v>
      </c>
      <c r="D97" t="s">
        <v>79</v>
      </c>
      <c r="E97" t="s">
        <v>109</v>
      </c>
      <c r="F97" t="s">
        <v>223</v>
      </c>
      <c r="G97" t="s">
        <v>105</v>
      </c>
      <c r="H97">
        <v>1</v>
      </c>
      <c r="I97" t="s">
        <v>10</v>
      </c>
      <c r="J97">
        <v>366</v>
      </c>
      <c r="K97" t="s">
        <v>88</v>
      </c>
      <c r="L97">
        <v>2000</v>
      </c>
      <c r="M97" s="2">
        <v>26.26398</v>
      </c>
      <c r="N97" t="s">
        <v>106</v>
      </c>
      <c r="O97" s="2">
        <v>0.19439690000000001</v>
      </c>
      <c r="P97" t="s">
        <v>107</v>
      </c>
    </row>
    <row r="98" spans="1:16" x14ac:dyDescent="0.25">
      <c r="A98" s="1">
        <v>45722</v>
      </c>
      <c r="B98" t="s">
        <v>224</v>
      </c>
      <c r="C98" t="s">
        <v>78</v>
      </c>
      <c r="D98" t="s">
        <v>79</v>
      </c>
      <c r="E98" t="s">
        <v>109</v>
      </c>
      <c r="F98" t="s">
        <v>225</v>
      </c>
      <c r="G98" t="s">
        <v>105</v>
      </c>
      <c r="H98">
        <v>1</v>
      </c>
      <c r="I98" t="s">
        <v>10</v>
      </c>
      <c r="J98">
        <v>366</v>
      </c>
      <c r="K98" t="s">
        <v>88</v>
      </c>
      <c r="L98">
        <v>2000</v>
      </c>
      <c r="M98" s="2">
        <v>48928.32</v>
      </c>
      <c r="N98" t="s">
        <v>106</v>
      </c>
      <c r="O98" s="2">
        <v>362.15050000000002</v>
      </c>
      <c r="P98" t="s">
        <v>107</v>
      </c>
    </row>
    <row r="99" spans="1:16" x14ac:dyDescent="0.25">
      <c r="A99" s="1">
        <v>45722</v>
      </c>
      <c r="B99" t="s">
        <v>224</v>
      </c>
      <c r="C99" t="s">
        <v>78</v>
      </c>
      <c r="D99" t="s">
        <v>79</v>
      </c>
      <c r="E99" t="s">
        <v>109</v>
      </c>
      <c r="F99" t="s">
        <v>226</v>
      </c>
      <c r="G99" t="s">
        <v>105</v>
      </c>
      <c r="H99">
        <v>1</v>
      </c>
      <c r="I99" t="s">
        <v>10</v>
      </c>
      <c r="J99">
        <v>366</v>
      </c>
      <c r="K99" t="s">
        <v>88</v>
      </c>
      <c r="L99">
        <v>2000</v>
      </c>
      <c r="M99" s="2">
        <v>52723.519999999997</v>
      </c>
      <c r="N99" t="s">
        <v>106</v>
      </c>
      <c r="O99" s="2">
        <v>390.24130000000002</v>
      </c>
      <c r="P99" t="s">
        <v>107</v>
      </c>
    </row>
    <row r="100" spans="1:16" x14ac:dyDescent="0.25">
      <c r="A100" s="1">
        <v>45722</v>
      </c>
      <c r="B100" t="s">
        <v>227</v>
      </c>
      <c r="C100" t="s">
        <v>78</v>
      </c>
      <c r="D100" t="s">
        <v>79</v>
      </c>
      <c r="E100" t="s">
        <v>109</v>
      </c>
      <c r="F100" t="s">
        <v>228</v>
      </c>
      <c r="G100" t="s">
        <v>105</v>
      </c>
      <c r="H100">
        <v>1</v>
      </c>
      <c r="I100" t="s">
        <v>10</v>
      </c>
      <c r="J100">
        <v>366</v>
      </c>
      <c r="K100" t="s">
        <v>88</v>
      </c>
      <c r="L100">
        <v>2000</v>
      </c>
      <c r="M100" s="2">
        <v>-0.31142710000000001</v>
      </c>
      <c r="N100" t="s">
        <v>106</v>
      </c>
      <c r="O100" s="2">
        <v>-2.3050760000000001E-3</v>
      </c>
      <c r="P100" t="s">
        <v>107</v>
      </c>
    </row>
    <row r="101" spans="1:16" x14ac:dyDescent="0.25">
      <c r="A101" s="1">
        <v>45722</v>
      </c>
      <c r="B101" t="s">
        <v>229</v>
      </c>
      <c r="C101" t="s">
        <v>230</v>
      </c>
      <c r="D101" t="s">
        <v>79</v>
      </c>
      <c r="E101" t="s">
        <v>230</v>
      </c>
      <c r="F101" t="s">
        <v>219</v>
      </c>
      <c r="G101" t="s">
        <v>231</v>
      </c>
      <c r="H101" s="1">
        <v>36891</v>
      </c>
    </row>
    <row r="103" spans="1:16" x14ac:dyDescent="0.25">
      <c r="B103" t="s">
        <v>0</v>
      </c>
      <c r="C103" t="s">
        <v>232</v>
      </c>
      <c r="D103" t="s">
        <v>2</v>
      </c>
    </row>
    <row r="104" spans="1:16" x14ac:dyDescent="0.25">
      <c r="A104" s="1">
        <v>45721</v>
      </c>
      <c r="B104" t="s">
        <v>233</v>
      </c>
      <c r="C104" t="s">
        <v>4</v>
      </c>
      <c r="D104" t="s">
        <v>5</v>
      </c>
      <c r="E104" t="s">
        <v>6</v>
      </c>
      <c r="F104" t="s">
        <v>7</v>
      </c>
      <c r="G104" t="s">
        <v>8</v>
      </c>
      <c r="H104" t="s">
        <v>9</v>
      </c>
      <c r="I104" t="s">
        <v>10</v>
      </c>
      <c r="J104" t="s">
        <v>11</v>
      </c>
      <c r="K104" t="s">
        <v>234</v>
      </c>
    </row>
    <row r="105" spans="1:16" x14ac:dyDescent="0.25">
      <c r="A105" s="1">
        <v>45721</v>
      </c>
      <c r="B105" t="s">
        <v>235</v>
      </c>
      <c r="C105" t="s">
        <v>4</v>
      </c>
      <c r="D105" t="s">
        <v>5</v>
      </c>
      <c r="E105" t="s">
        <v>6</v>
      </c>
      <c r="F105" t="s">
        <v>7</v>
      </c>
      <c r="G105" t="s">
        <v>8</v>
      </c>
      <c r="H105" t="s">
        <v>9</v>
      </c>
      <c r="I105" t="s">
        <v>10</v>
      </c>
      <c r="J105" t="s">
        <v>11</v>
      </c>
      <c r="K105" t="s">
        <v>236</v>
      </c>
    </row>
    <row r="106" spans="1:16" x14ac:dyDescent="0.25">
      <c r="A106" s="1">
        <v>45721</v>
      </c>
      <c r="B106" t="s">
        <v>237</v>
      </c>
      <c r="C106" t="s">
        <v>4</v>
      </c>
      <c r="D106" t="s">
        <v>5</v>
      </c>
      <c r="E106" t="s">
        <v>6</v>
      </c>
      <c r="F106" t="s">
        <v>7</v>
      </c>
      <c r="G106" t="s">
        <v>8</v>
      </c>
      <c r="H106" t="s">
        <v>9</v>
      </c>
      <c r="I106" t="s">
        <v>10</v>
      </c>
      <c r="J106" t="s">
        <v>11</v>
      </c>
      <c r="K106" t="s">
        <v>238</v>
      </c>
    </row>
    <row r="107" spans="1:16" x14ac:dyDescent="0.25">
      <c r="A107" s="1">
        <v>45721</v>
      </c>
      <c r="B107" t="s">
        <v>239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  <c r="H107" t="s">
        <v>9</v>
      </c>
      <c r="I107" t="s">
        <v>10</v>
      </c>
      <c r="J107" t="s">
        <v>11</v>
      </c>
      <c r="K107" t="s">
        <v>240</v>
      </c>
    </row>
    <row r="108" spans="1:16" x14ac:dyDescent="0.25">
      <c r="A108" s="1">
        <v>45721</v>
      </c>
      <c r="B108" t="s">
        <v>241</v>
      </c>
      <c r="C108" t="s">
        <v>4</v>
      </c>
      <c r="D108" t="s">
        <v>5</v>
      </c>
      <c r="E108" t="s">
        <v>6</v>
      </c>
      <c r="F108" t="s">
        <v>7</v>
      </c>
      <c r="G108" t="s">
        <v>8</v>
      </c>
      <c r="H108" t="s">
        <v>9</v>
      </c>
      <c r="I108" t="s">
        <v>10</v>
      </c>
      <c r="J108" t="s">
        <v>11</v>
      </c>
      <c r="K108" t="s">
        <v>242</v>
      </c>
    </row>
    <row r="109" spans="1:16" x14ac:dyDescent="0.25">
      <c r="A109" s="1">
        <v>45721</v>
      </c>
      <c r="B109" t="s">
        <v>243</v>
      </c>
      <c r="C109" t="s">
        <v>4</v>
      </c>
      <c r="D109" t="s">
        <v>5</v>
      </c>
      <c r="E109" t="s">
        <v>6</v>
      </c>
      <c r="F109" t="s">
        <v>7</v>
      </c>
      <c r="G109" t="s">
        <v>8</v>
      </c>
      <c r="H109" t="s">
        <v>9</v>
      </c>
      <c r="I109" t="s">
        <v>10</v>
      </c>
      <c r="J109" t="s">
        <v>11</v>
      </c>
      <c r="K109" t="s">
        <v>244</v>
      </c>
    </row>
    <row r="110" spans="1:16" x14ac:dyDescent="0.25">
      <c r="A110" s="1">
        <v>45721</v>
      </c>
      <c r="B110" t="s">
        <v>245</v>
      </c>
      <c r="C110" t="s">
        <v>4</v>
      </c>
      <c r="D110" t="s">
        <v>5</v>
      </c>
      <c r="E110" t="s">
        <v>6</v>
      </c>
      <c r="F110" t="s">
        <v>7</v>
      </c>
      <c r="G110" t="s">
        <v>8</v>
      </c>
      <c r="H110" t="s">
        <v>9</v>
      </c>
      <c r="I110" t="s">
        <v>10</v>
      </c>
      <c r="J110" t="s">
        <v>11</v>
      </c>
      <c r="K110" t="s">
        <v>246</v>
      </c>
    </row>
    <row r="111" spans="1:16" x14ac:dyDescent="0.25">
      <c r="A111" s="1">
        <v>45721</v>
      </c>
      <c r="B111" t="s">
        <v>247</v>
      </c>
      <c r="C111" t="s">
        <v>4</v>
      </c>
      <c r="D111" t="s">
        <v>5</v>
      </c>
      <c r="E111" t="s">
        <v>6</v>
      </c>
      <c r="F111" t="s">
        <v>7</v>
      </c>
      <c r="G111" t="s">
        <v>8</v>
      </c>
      <c r="H111" t="s">
        <v>9</v>
      </c>
      <c r="I111" t="s">
        <v>10</v>
      </c>
      <c r="J111" t="s">
        <v>11</v>
      </c>
      <c r="K111" t="s">
        <v>248</v>
      </c>
    </row>
    <row r="112" spans="1:16" x14ac:dyDescent="0.25">
      <c r="A112" s="1">
        <v>45721</v>
      </c>
      <c r="B112" t="s">
        <v>249</v>
      </c>
      <c r="C112" t="s">
        <v>4</v>
      </c>
      <c r="D112" t="s">
        <v>5</v>
      </c>
      <c r="E112" t="s">
        <v>6</v>
      </c>
      <c r="F112" t="s">
        <v>7</v>
      </c>
      <c r="G112" t="s">
        <v>8</v>
      </c>
      <c r="H112" t="s">
        <v>9</v>
      </c>
      <c r="I112" t="s">
        <v>10</v>
      </c>
      <c r="J112" t="s">
        <v>11</v>
      </c>
      <c r="K112" t="s">
        <v>250</v>
      </c>
    </row>
    <row r="113" spans="1:11" x14ac:dyDescent="0.25">
      <c r="A113" s="1">
        <v>45721</v>
      </c>
      <c r="B113" t="s">
        <v>251</v>
      </c>
      <c r="C113" t="s">
        <v>4</v>
      </c>
      <c r="D113" t="s">
        <v>5</v>
      </c>
      <c r="E113" t="s">
        <v>6</v>
      </c>
      <c r="F113" t="s">
        <v>7</v>
      </c>
      <c r="G113" t="s">
        <v>8</v>
      </c>
      <c r="H113" t="s">
        <v>9</v>
      </c>
      <c r="I113" t="s">
        <v>10</v>
      </c>
      <c r="J113" t="s">
        <v>11</v>
      </c>
      <c r="K113" t="s">
        <v>252</v>
      </c>
    </row>
    <row r="114" spans="1:11" x14ac:dyDescent="0.25">
      <c r="A114" s="1">
        <v>45721</v>
      </c>
      <c r="B114" t="s">
        <v>253</v>
      </c>
      <c r="C114" t="s">
        <v>4</v>
      </c>
      <c r="D114" t="s">
        <v>5</v>
      </c>
      <c r="E114" t="s">
        <v>6</v>
      </c>
      <c r="F114" t="s">
        <v>7</v>
      </c>
      <c r="G114" t="s">
        <v>8</v>
      </c>
      <c r="H114" t="s">
        <v>9</v>
      </c>
      <c r="I114" t="s">
        <v>10</v>
      </c>
      <c r="J114" t="s">
        <v>11</v>
      </c>
      <c r="K114" t="s">
        <v>254</v>
      </c>
    </row>
    <row r="115" spans="1:11" x14ac:dyDescent="0.25">
      <c r="A115" s="1">
        <v>45721</v>
      </c>
      <c r="B115" t="s">
        <v>255</v>
      </c>
      <c r="C115" t="s">
        <v>4</v>
      </c>
      <c r="D115" t="s">
        <v>5</v>
      </c>
      <c r="E115" t="s">
        <v>6</v>
      </c>
      <c r="F115" t="s">
        <v>7</v>
      </c>
      <c r="G115" t="s">
        <v>8</v>
      </c>
      <c r="H115" t="s">
        <v>9</v>
      </c>
      <c r="I115" t="s">
        <v>10</v>
      </c>
      <c r="J115" t="s">
        <v>11</v>
      </c>
      <c r="K115" t="s">
        <v>256</v>
      </c>
    </row>
    <row r="116" spans="1:11" x14ac:dyDescent="0.25">
      <c r="A116" s="1">
        <v>45721</v>
      </c>
      <c r="B116" t="s">
        <v>257</v>
      </c>
      <c r="C116" t="s">
        <v>4</v>
      </c>
      <c r="D116" t="s">
        <v>5</v>
      </c>
      <c r="E116" t="s">
        <v>6</v>
      </c>
      <c r="F116" t="s">
        <v>7</v>
      </c>
      <c r="G116" t="s">
        <v>8</v>
      </c>
      <c r="H116" t="s">
        <v>9</v>
      </c>
      <c r="I116" t="s">
        <v>10</v>
      </c>
      <c r="J116" t="s">
        <v>11</v>
      </c>
      <c r="K116" t="s">
        <v>258</v>
      </c>
    </row>
    <row r="117" spans="1:11" x14ac:dyDescent="0.25">
      <c r="A117" s="1">
        <v>45721</v>
      </c>
      <c r="B117" t="s">
        <v>259</v>
      </c>
      <c r="C117" t="s">
        <v>4</v>
      </c>
      <c r="D117" t="s">
        <v>5</v>
      </c>
      <c r="E117" t="s">
        <v>6</v>
      </c>
      <c r="F117" t="s">
        <v>7</v>
      </c>
      <c r="G117" t="s">
        <v>8</v>
      </c>
      <c r="H117" t="s">
        <v>9</v>
      </c>
      <c r="I117" t="s">
        <v>10</v>
      </c>
      <c r="J117" t="s">
        <v>11</v>
      </c>
      <c r="K117" t="s">
        <v>260</v>
      </c>
    </row>
    <row r="118" spans="1:11" x14ac:dyDescent="0.25">
      <c r="A118" s="1">
        <v>45721</v>
      </c>
      <c r="B118" t="s">
        <v>261</v>
      </c>
      <c r="C118" t="s">
        <v>4</v>
      </c>
      <c r="D118" t="s">
        <v>5</v>
      </c>
      <c r="E118" t="s">
        <v>6</v>
      </c>
      <c r="F118" t="s">
        <v>7</v>
      </c>
      <c r="G118" t="s">
        <v>8</v>
      </c>
      <c r="H118" t="s">
        <v>9</v>
      </c>
      <c r="I118" t="s">
        <v>10</v>
      </c>
      <c r="J118" t="s">
        <v>11</v>
      </c>
      <c r="K118" t="s">
        <v>262</v>
      </c>
    </row>
    <row r="119" spans="1:11" x14ac:dyDescent="0.25">
      <c r="A119" s="1">
        <v>45721</v>
      </c>
      <c r="B119" t="s">
        <v>263</v>
      </c>
      <c r="C119" t="s">
        <v>4</v>
      </c>
      <c r="D119" t="s">
        <v>5</v>
      </c>
      <c r="E119" t="s">
        <v>6</v>
      </c>
      <c r="F119" t="s">
        <v>7</v>
      </c>
      <c r="G119" t="s">
        <v>8</v>
      </c>
      <c r="H119" t="s">
        <v>9</v>
      </c>
      <c r="I119" t="s">
        <v>10</v>
      </c>
      <c r="J119" t="s">
        <v>11</v>
      </c>
      <c r="K119" t="s">
        <v>264</v>
      </c>
    </row>
    <row r="120" spans="1:11" x14ac:dyDescent="0.25">
      <c r="A120" s="1">
        <v>45721</v>
      </c>
      <c r="B120" t="s">
        <v>265</v>
      </c>
      <c r="C120" t="s">
        <v>4</v>
      </c>
      <c r="D120" t="s">
        <v>5</v>
      </c>
      <c r="E120" t="s">
        <v>6</v>
      </c>
      <c r="F120" t="s">
        <v>7</v>
      </c>
      <c r="G120" t="s">
        <v>8</v>
      </c>
      <c r="H120" t="s">
        <v>9</v>
      </c>
      <c r="I120" t="s">
        <v>10</v>
      </c>
      <c r="J120" t="s">
        <v>11</v>
      </c>
      <c r="K120" t="s">
        <v>266</v>
      </c>
    </row>
    <row r="121" spans="1:11" x14ac:dyDescent="0.25">
      <c r="A121" s="1">
        <v>45721</v>
      </c>
      <c r="B121" t="s">
        <v>267</v>
      </c>
      <c r="C121" t="s">
        <v>4</v>
      </c>
      <c r="D121" t="s">
        <v>5</v>
      </c>
      <c r="E121" t="s">
        <v>6</v>
      </c>
      <c r="F121" t="s">
        <v>7</v>
      </c>
      <c r="G121" t="s">
        <v>8</v>
      </c>
      <c r="H121" t="s">
        <v>9</v>
      </c>
      <c r="I121" t="s">
        <v>10</v>
      </c>
      <c r="J121" t="s">
        <v>11</v>
      </c>
      <c r="K121" t="s">
        <v>268</v>
      </c>
    </row>
    <row r="122" spans="1:11" x14ac:dyDescent="0.25">
      <c r="A122" s="1">
        <v>45721</v>
      </c>
      <c r="B122" t="s">
        <v>269</v>
      </c>
      <c r="C122" t="s">
        <v>4</v>
      </c>
      <c r="D122" t="s">
        <v>5</v>
      </c>
      <c r="E122" t="s">
        <v>6</v>
      </c>
      <c r="F122" t="s">
        <v>7</v>
      </c>
      <c r="G122" t="s">
        <v>8</v>
      </c>
      <c r="H122" t="s">
        <v>9</v>
      </c>
      <c r="I122" t="s">
        <v>10</v>
      </c>
      <c r="J122" t="s">
        <v>11</v>
      </c>
      <c r="K122" t="s">
        <v>270</v>
      </c>
    </row>
    <row r="123" spans="1:11" x14ac:dyDescent="0.25">
      <c r="A123" s="1">
        <v>45721</v>
      </c>
      <c r="B123" t="s">
        <v>271</v>
      </c>
      <c r="C123" t="s">
        <v>4</v>
      </c>
      <c r="D123" t="s">
        <v>5</v>
      </c>
      <c r="E123" t="s">
        <v>6</v>
      </c>
      <c r="F123" t="s">
        <v>7</v>
      </c>
      <c r="G123" t="s">
        <v>8</v>
      </c>
      <c r="H123" t="s">
        <v>9</v>
      </c>
      <c r="I123" t="s">
        <v>10</v>
      </c>
      <c r="J123" t="s">
        <v>11</v>
      </c>
      <c r="K123" t="s">
        <v>272</v>
      </c>
    </row>
    <row r="124" spans="1:11" x14ac:dyDescent="0.25">
      <c r="A124" s="1">
        <v>45721</v>
      </c>
      <c r="B124" t="s">
        <v>273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  <c r="H124" t="s">
        <v>9</v>
      </c>
      <c r="I124" t="s">
        <v>10</v>
      </c>
      <c r="J124" t="s">
        <v>11</v>
      </c>
      <c r="K124" t="s">
        <v>274</v>
      </c>
    </row>
    <row r="125" spans="1:11" x14ac:dyDescent="0.25">
      <c r="A125" s="1">
        <v>45721</v>
      </c>
      <c r="B125" t="s">
        <v>275</v>
      </c>
      <c r="C125" t="s">
        <v>4</v>
      </c>
      <c r="D125" t="s">
        <v>5</v>
      </c>
      <c r="E125" t="s">
        <v>6</v>
      </c>
      <c r="F125" t="s">
        <v>7</v>
      </c>
      <c r="G125" t="s">
        <v>8</v>
      </c>
      <c r="H125" t="s">
        <v>9</v>
      </c>
      <c r="I125" t="s">
        <v>10</v>
      </c>
      <c r="J125" t="s">
        <v>11</v>
      </c>
      <c r="K125" t="s">
        <v>276</v>
      </c>
    </row>
    <row r="126" spans="1:11" x14ac:dyDescent="0.25">
      <c r="A126" s="1">
        <v>45721</v>
      </c>
      <c r="B126" t="s">
        <v>277</v>
      </c>
      <c r="C126" t="s">
        <v>4</v>
      </c>
      <c r="D126" t="s">
        <v>5</v>
      </c>
      <c r="E126" t="s">
        <v>6</v>
      </c>
      <c r="F126" t="s">
        <v>7</v>
      </c>
      <c r="G126" t="s">
        <v>8</v>
      </c>
      <c r="H126" t="s">
        <v>9</v>
      </c>
      <c r="I126" t="s">
        <v>10</v>
      </c>
      <c r="J126" t="s">
        <v>11</v>
      </c>
      <c r="K126" t="s">
        <v>278</v>
      </c>
    </row>
    <row r="127" spans="1:11" x14ac:dyDescent="0.25">
      <c r="A127" s="1">
        <v>45721</v>
      </c>
      <c r="B127" t="s">
        <v>279</v>
      </c>
      <c r="C127" t="s">
        <v>4</v>
      </c>
      <c r="D127" t="s">
        <v>5</v>
      </c>
      <c r="E127" t="s">
        <v>6</v>
      </c>
      <c r="F127" t="s">
        <v>7</v>
      </c>
      <c r="G127" t="s">
        <v>8</v>
      </c>
      <c r="H127" t="s">
        <v>9</v>
      </c>
      <c r="I127" t="s">
        <v>10</v>
      </c>
      <c r="J127" t="s">
        <v>11</v>
      </c>
      <c r="K127" t="s">
        <v>280</v>
      </c>
    </row>
    <row r="128" spans="1:11" x14ac:dyDescent="0.25">
      <c r="A128" s="1">
        <v>45721</v>
      </c>
      <c r="B128" t="s">
        <v>281</v>
      </c>
      <c r="C128" t="s">
        <v>4</v>
      </c>
      <c r="D128" t="s">
        <v>5</v>
      </c>
      <c r="E128" t="s">
        <v>6</v>
      </c>
      <c r="F128" t="s">
        <v>7</v>
      </c>
      <c r="G128" t="s">
        <v>8</v>
      </c>
      <c r="H128" t="s">
        <v>9</v>
      </c>
      <c r="I128" t="s">
        <v>10</v>
      </c>
      <c r="J128" t="s">
        <v>11</v>
      </c>
      <c r="K128" t="s">
        <v>282</v>
      </c>
    </row>
    <row r="129" spans="1:21" x14ac:dyDescent="0.25">
      <c r="A129" s="1">
        <v>45721</v>
      </c>
      <c r="B129" t="s">
        <v>283</v>
      </c>
      <c r="C129" t="s">
        <v>4</v>
      </c>
      <c r="D129" t="s">
        <v>5</v>
      </c>
      <c r="E129" t="s">
        <v>6</v>
      </c>
      <c r="F129" t="s">
        <v>7</v>
      </c>
      <c r="G129" t="s">
        <v>8</v>
      </c>
      <c r="H129" t="s">
        <v>9</v>
      </c>
      <c r="I129" t="s">
        <v>10</v>
      </c>
      <c r="J129" t="s">
        <v>11</v>
      </c>
      <c r="K129" t="s">
        <v>284</v>
      </c>
    </row>
    <row r="130" spans="1:21" x14ac:dyDescent="0.25">
      <c r="A130" s="1">
        <v>45721</v>
      </c>
      <c r="B130" t="s">
        <v>285</v>
      </c>
      <c r="C130" t="s">
        <v>4</v>
      </c>
      <c r="D130" t="s">
        <v>5</v>
      </c>
      <c r="E130" t="s">
        <v>6</v>
      </c>
      <c r="F130" t="s">
        <v>7</v>
      </c>
      <c r="G130" t="s">
        <v>8</v>
      </c>
      <c r="H130" t="s">
        <v>9</v>
      </c>
      <c r="I130" t="s">
        <v>10</v>
      </c>
      <c r="J130" t="s">
        <v>11</v>
      </c>
      <c r="K130" t="s">
        <v>286</v>
      </c>
    </row>
    <row r="131" spans="1:21" x14ac:dyDescent="0.25">
      <c r="A131" s="1">
        <v>45721</v>
      </c>
      <c r="B131" t="s">
        <v>287</v>
      </c>
      <c r="C131" t="s">
        <v>4</v>
      </c>
      <c r="D131" t="s">
        <v>5</v>
      </c>
      <c r="E131" t="s">
        <v>6</v>
      </c>
      <c r="F131" t="s">
        <v>7</v>
      </c>
      <c r="G131" t="s">
        <v>8</v>
      </c>
      <c r="H131" t="s">
        <v>9</v>
      </c>
      <c r="I131" t="s">
        <v>10</v>
      </c>
      <c r="J131" t="s">
        <v>11</v>
      </c>
      <c r="K131" t="s">
        <v>288</v>
      </c>
    </row>
    <row r="132" spans="1:21" x14ac:dyDescent="0.25">
      <c r="A132" s="1">
        <v>45721</v>
      </c>
      <c r="B132" t="s">
        <v>289</v>
      </c>
      <c r="C132" t="s">
        <v>4</v>
      </c>
      <c r="D132" t="s">
        <v>5</v>
      </c>
      <c r="E132" t="s">
        <v>6</v>
      </c>
      <c r="F132" t="s">
        <v>7</v>
      </c>
      <c r="G132" t="s">
        <v>8</v>
      </c>
      <c r="H132" t="s">
        <v>9</v>
      </c>
      <c r="I132" t="s">
        <v>10</v>
      </c>
      <c r="J132" t="s">
        <v>11</v>
      </c>
      <c r="K132" t="s">
        <v>290</v>
      </c>
    </row>
    <row r="133" spans="1:21" x14ac:dyDescent="0.25">
      <c r="A133" s="1">
        <v>45721</v>
      </c>
      <c r="B133" t="s">
        <v>291</v>
      </c>
      <c r="C133" t="s">
        <v>4</v>
      </c>
      <c r="D133" t="s">
        <v>5</v>
      </c>
      <c r="E133" t="s">
        <v>6</v>
      </c>
      <c r="F133" t="s">
        <v>7</v>
      </c>
      <c r="G133" t="s">
        <v>8</v>
      </c>
      <c r="H133" t="s">
        <v>9</v>
      </c>
      <c r="I133" t="s">
        <v>10</v>
      </c>
      <c r="J133" t="s">
        <v>11</v>
      </c>
      <c r="K133" t="s">
        <v>292</v>
      </c>
    </row>
    <row r="134" spans="1:21" x14ac:dyDescent="0.25">
      <c r="A134" s="1">
        <v>45721</v>
      </c>
      <c r="B134" t="s">
        <v>293</v>
      </c>
      <c r="C134" t="s">
        <v>4</v>
      </c>
      <c r="D134" t="s">
        <v>5</v>
      </c>
      <c r="E134" t="s">
        <v>6</v>
      </c>
      <c r="F134" t="s">
        <v>7</v>
      </c>
      <c r="G134" t="s">
        <v>8</v>
      </c>
      <c r="H134" t="s">
        <v>9</v>
      </c>
      <c r="I134" t="s">
        <v>10</v>
      </c>
      <c r="J134" t="s">
        <v>11</v>
      </c>
      <c r="K134" t="s">
        <v>294</v>
      </c>
    </row>
    <row r="135" spans="1:21" x14ac:dyDescent="0.25">
      <c r="A135" s="1">
        <v>45721</v>
      </c>
      <c r="B135" t="s">
        <v>295</v>
      </c>
      <c r="C135" t="s">
        <v>4</v>
      </c>
      <c r="D135" t="s">
        <v>5</v>
      </c>
      <c r="E135" t="s">
        <v>6</v>
      </c>
      <c r="F135" t="s">
        <v>7</v>
      </c>
      <c r="G135" t="s">
        <v>8</v>
      </c>
      <c r="H135" t="s">
        <v>9</v>
      </c>
      <c r="I135" t="s">
        <v>10</v>
      </c>
      <c r="J135" t="s">
        <v>11</v>
      </c>
      <c r="K135" t="s">
        <v>296</v>
      </c>
    </row>
    <row r="136" spans="1:21" x14ac:dyDescent="0.25">
      <c r="A136" s="1">
        <v>45721</v>
      </c>
      <c r="B136" t="s">
        <v>297</v>
      </c>
      <c r="C136" t="s">
        <v>4</v>
      </c>
      <c r="D136" t="s">
        <v>5</v>
      </c>
      <c r="E136" t="s">
        <v>6</v>
      </c>
      <c r="F136" t="s">
        <v>7</v>
      </c>
      <c r="G136" t="s">
        <v>8</v>
      </c>
      <c r="H136" t="s">
        <v>9</v>
      </c>
      <c r="I136" t="s">
        <v>10</v>
      </c>
      <c r="J136" t="s">
        <v>11</v>
      </c>
      <c r="K136" t="s">
        <v>298</v>
      </c>
    </row>
    <row r="137" spans="1:21" x14ac:dyDescent="0.25">
      <c r="A137" s="1">
        <v>45721</v>
      </c>
      <c r="B137" t="s">
        <v>299</v>
      </c>
      <c r="C137" t="s">
        <v>78</v>
      </c>
      <c r="D137" t="s">
        <v>79</v>
      </c>
    </row>
    <row r="138" spans="1:21" x14ac:dyDescent="0.25">
      <c r="A138" s="1">
        <v>45721</v>
      </c>
      <c r="B138" t="s">
        <v>299</v>
      </c>
      <c r="C138" t="s">
        <v>78</v>
      </c>
      <c r="D138" t="s">
        <v>79</v>
      </c>
      <c r="E138" t="s">
        <v>80</v>
      </c>
      <c r="F138" t="s">
        <v>81</v>
      </c>
      <c r="G138" t="s">
        <v>82</v>
      </c>
      <c r="H138" t="s">
        <v>83</v>
      </c>
      <c r="I138" t="s">
        <v>84</v>
      </c>
      <c r="J138" t="s">
        <v>85</v>
      </c>
      <c r="K138" t="s">
        <v>86</v>
      </c>
      <c r="L138" t="s">
        <v>87</v>
      </c>
      <c r="M138" t="s">
        <v>88</v>
      </c>
      <c r="N138" t="s">
        <v>89</v>
      </c>
      <c r="O138" t="s">
        <v>90</v>
      </c>
      <c r="P138" t="s">
        <v>91</v>
      </c>
      <c r="Q138" t="s">
        <v>92</v>
      </c>
      <c r="R138" t="s">
        <v>93</v>
      </c>
      <c r="S138" t="s">
        <v>94</v>
      </c>
      <c r="T138" t="s">
        <v>95</v>
      </c>
      <c r="U138" t="s">
        <v>96</v>
      </c>
    </row>
    <row r="139" spans="1:21" x14ac:dyDescent="0.25">
      <c r="A139" s="1">
        <v>45721</v>
      </c>
      <c r="B139" t="s">
        <v>300</v>
      </c>
      <c r="C139" t="s">
        <v>78</v>
      </c>
      <c r="D139" t="s">
        <v>79</v>
      </c>
      <c r="E139" t="s">
        <v>98</v>
      </c>
      <c r="F139" t="s">
        <v>99</v>
      </c>
      <c r="G139" s="2">
        <v>135099300</v>
      </c>
      <c r="H139" t="s">
        <v>100</v>
      </c>
    </row>
    <row r="140" spans="1:21" x14ac:dyDescent="0.25">
      <c r="A140" s="1">
        <v>45721</v>
      </c>
      <c r="B140" t="s">
        <v>301</v>
      </c>
      <c r="C140" t="s">
        <v>78</v>
      </c>
      <c r="D140" t="s">
        <v>79</v>
      </c>
      <c r="E140" t="s">
        <v>102</v>
      </c>
      <c r="F140" t="s">
        <v>103</v>
      </c>
      <c r="G140" t="s">
        <v>104</v>
      </c>
      <c r="H140" t="s">
        <v>105</v>
      </c>
      <c r="I140">
        <v>1</v>
      </c>
      <c r="J140" t="s">
        <v>10</v>
      </c>
      <c r="K140">
        <v>366</v>
      </c>
      <c r="L140" t="s">
        <v>88</v>
      </c>
      <c r="M140">
        <v>2000</v>
      </c>
      <c r="N140" s="2">
        <v>1345.4079999999999</v>
      </c>
      <c r="O140" t="s">
        <v>106</v>
      </c>
      <c r="P140" s="2">
        <v>9.9586590000000008</v>
      </c>
      <c r="Q140" t="s">
        <v>107</v>
      </c>
    </row>
    <row r="141" spans="1:21" x14ac:dyDescent="0.25">
      <c r="A141" s="1">
        <v>45721</v>
      </c>
      <c r="B141" t="s">
        <v>302</v>
      </c>
      <c r="C141" t="s">
        <v>78</v>
      </c>
      <c r="D141" t="s">
        <v>79</v>
      </c>
      <c r="E141" t="s">
        <v>109</v>
      </c>
      <c r="F141" t="s">
        <v>110</v>
      </c>
      <c r="G141" t="s">
        <v>105</v>
      </c>
      <c r="H141">
        <v>1</v>
      </c>
      <c r="I141" t="s">
        <v>10</v>
      </c>
      <c r="J141">
        <v>366</v>
      </c>
      <c r="K141" t="s">
        <v>88</v>
      </c>
      <c r="L141">
        <v>2000</v>
      </c>
      <c r="M141" s="2">
        <v>111706</v>
      </c>
      <c r="N141" t="s">
        <v>106</v>
      </c>
      <c r="O141" s="2">
        <v>826.84349999999995</v>
      </c>
      <c r="P141" t="s">
        <v>107</v>
      </c>
    </row>
    <row r="142" spans="1:21" x14ac:dyDescent="0.25">
      <c r="A142" s="1">
        <v>45721</v>
      </c>
      <c r="B142" t="s">
        <v>303</v>
      </c>
      <c r="C142" t="s">
        <v>78</v>
      </c>
      <c r="D142" t="s">
        <v>79</v>
      </c>
      <c r="E142" t="s">
        <v>109</v>
      </c>
      <c r="F142" t="s">
        <v>112</v>
      </c>
      <c r="G142" t="s">
        <v>105</v>
      </c>
      <c r="H142">
        <v>1</v>
      </c>
      <c r="I142" t="s">
        <v>10</v>
      </c>
      <c r="J142">
        <v>366</v>
      </c>
      <c r="K142" t="s">
        <v>88</v>
      </c>
      <c r="L142">
        <v>2000</v>
      </c>
      <c r="M142" s="2">
        <v>28659.81</v>
      </c>
      <c r="N142" t="s">
        <v>106</v>
      </c>
      <c r="O142" s="2">
        <v>212.1387</v>
      </c>
      <c r="P142" t="s">
        <v>107</v>
      </c>
    </row>
    <row r="143" spans="1:21" x14ac:dyDescent="0.25">
      <c r="A143" s="1">
        <v>45721</v>
      </c>
      <c r="B143" t="s">
        <v>304</v>
      </c>
      <c r="C143" t="s">
        <v>78</v>
      </c>
      <c r="D143" t="s">
        <v>79</v>
      </c>
      <c r="E143" t="s">
        <v>109</v>
      </c>
      <c r="F143" t="s">
        <v>114</v>
      </c>
      <c r="G143" t="s">
        <v>105</v>
      </c>
      <c r="H143">
        <v>1</v>
      </c>
      <c r="I143" t="s">
        <v>10</v>
      </c>
      <c r="J143">
        <v>366</v>
      </c>
      <c r="K143" t="s">
        <v>88</v>
      </c>
      <c r="L143">
        <v>2000</v>
      </c>
      <c r="M143" s="2">
        <v>0.55909750000000003</v>
      </c>
      <c r="N143" t="s">
        <v>106</v>
      </c>
      <c r="O143" s="2">
        <v>4.1384170000000001E-3</v>
      </c>
      <c r="P143" t="s">
        <v>107</v>
      </c>
    </row>
    <row r="144" spans="1:21" x14ac:dyDescent="0.25">
      <c r="A144" s="1">
        <v>45721</v>
      </c>
      <c r="B144" t="s">
        <v>305</v>
      </c>
      <c r="C144" t="s">
        <v>78</v>
      </c>
      <c r="D144" t="s">
        <v>79</v>
      </c>
      <c r="E144" t="s">
        <v>109</v>
      </c>
      <c r="F144" t="s">
        <v>116</v>
      </c>
      <c r="G144" t="s">
        <v>105</v>
      </c>
      <c r="H144">
        <v>1</v>
      </c>
      <c r="I144" t="s">
        <v>10</v>
      </c>
      <c r="J144">
        <v>366</v>
      </c>
      <c r="K144" t="s">
        <v>88</v>
      </c>
      <c r="L144">
        <v>2000</v>
      </c>
      <c r="M144" s="2">
        <v>48954.41</v>
      </c>
      <c r="N144" t="s">
        <v>106</v>
      </c>
      <c r="O144" s="2">
        <v>362.35860000000002</v>
      </c>
      <c r="P144" t="s">
        <v>107</v>
      </c>
    </row>
    <row r="145" spans="1:16" x14ac:dyDescent="0.25">
      <c r="A145" s="1">
        <v>45721</v>
      </c>
      <c r="B145" t="s">
        <v>306</v>
      </c>
      <c r="C145" t="s">
        <v>78</v>
      </c>
      <c r="D145" t="s">
        <v>79</v>
      </c>
      <c r="E145" t="s">
        <v>109</v>
      </c>
      <c r="F145" t="s">
        <v>118</v>
      </c>
      <c r="G145" t="s">
        <v>105</v>
      </c>
      <c r="H145">
        <v>1</v>
      </c>
      <c r="I145" t="s">
        <v>10</v>
      </c>
      <c r="J145">
        <v>366</v>
      </c>
      <c r="K145" t="s">
        <v>88</v>
      </c>
      <c r="L145">
        <v>2000</v>
      </c>
      <c r="M145" s="2">
        <v>0</v>
      </c>
      <c r="N145" t="s">
        <v>106</v>
      </c>
      <c r="O145" s="2">
        <v>0</v>
      </c>
      <c r="P145" t="s">
        <v>107</v>
      </c>
    </row>
    <row r="146" spans="1:16" x14ac:dyDescent="0.25">
      <c r="A146" s="1">
        <v>45721</v>
      </c>
      <c r="B146" t="s">
        <v>307</v>
      </c>
      <c r="C146" t="s">
        <v>78</v>
      </c>
      <c r="D146" t="s">
        <v>79</v>
      </c>
      <c r="E146" t="s">
        <v>109</v>
      </c>
      <c r="F146" t="s">
        <v>120</v>
      </c>
      <c r="G146" t="s">
        <v>105</v>
      </c>
      <c r="H146">
        <v>1</v>
      </c>
      <c r="I146" t="s">
        <v>10</v>
      </c>
      <c r="J146">
        <v>366</v>
      </c>
      <c r="K146" t="s">
        <v>88</v>
      </c>
      <c r="L146">
        <v>2000</v>
      </c>
      <c r="M146" s="2">
        <v>88584.22</v>
      </c>
      <c r="N146" t="s">
        <v>106</v>
      </c>
      <c r="O146" s="2">
        <v>655.69690000000003</v>
      </c>
      <c r="P146" t="s">
        <v>107</v>
      </c>
    </row>
    <row r="147" spans="1:16" x14ac:dyDescent="0.25">
      <c r="A147" s="1">
        <v>45721</v>
      </c>
      <c r="B147" t="s">
        <v>308</v>
      </c>
      <c r="C147" t="s">
        <v>78</v>
      </c>
      <c r="D147" t="s">
        <v>79</v>
      </c>
      <c r="E147" t="s">
        <v>109</v>
      </c>
      <c r="F147" t="s">
        <v>122</v>
      </c>
      <c r="G147" t="s">
        <v>105</v>
      </c>
      <c r="H147">
        <v>1</v>
      </c>
      <c r="I147" t="s">
        <v>10</v>
      </c>
      <c r="J147">
        <v>366</v>
      </c>
      <c r="K147" t="s">
        <v>88</v>
      </c>
      <c r="L147">
        <v>2000</v>
      </c>
      <c r="M147" s="2">
        <v>28714.7</v>
      </c>
      <c r="N147" t="s">
        <v>106</v>
      </c>
      <c r="O147" s="2">
        <v>212.54509999999999</v>
      </c>
      <c r="P147" t="s">
        <v>107</v>
      </c>
    </row>
    <row r="148" spans="1:16" x14ac:dyDescent="0.25">
      <c r="A148" s="1">
        <v>45721</v>
      </c>
      <c r="B148" t="s">
        <v>309</v>
      </c>
      <c r="C148" t="s">
        <v>78</v>
      </c>
      <c r="D148" t="s">
        <v>79</v>
      </c>
      <c r="E148" t="s">
        <v>109</v>
      </c>
      <c r="F148" t="s">
        <v>124</v>
      </c>
      <c r="G148" t="s">
        <v>105</v>
      </c>
      <c r="H148">
        <v>1</v>
      </c>
      <c r="I148" t="s">
        <v>10</v>
      </c>
      <c r="J148">
        <v>366</v>
      </c>
      <c r="K148" t="s">
        <v>88</v>
      </c>
      <c r="L148">
        <v>2000</v>
      </c>
      <c r="M148" s="2">
        <v>99930.31</v>
      </c>
      <c r="N148" t="s">
        <v>106</v>
      </c>
      <c r="O148" s="2">
        <v>739.68020000000001</v>
      </c>
      <c r="P148" t="s">
        <v>107</v>
      </c>
    </row>
    <row r="149" spans="1:16" x14ac:dyDescent="0.25">
      <c r="A149" s="1">
        <v>45721</v>
      </c>
      <c r="B149" t="s">
        <v>310</v>
      </c>
      <c r="C149" t="s">
        <v>78</v>
      </c>
      <c r="D149" t="s">
        <v>79</v>
      </c>
      <c r="E149" t="s">
        <v>109</v>
      </c>
      <c r="F149" t="s">
        <v>126</v>
      </c>
      <c r="G149" t="s">
        <v>105</v>
      </c>
      <c r="H149">
        <v>1</v>
      </c>
      <c r="I149" t="s">
        <v>10</v>
      </c>
      <c r="J149">
        <v>366</v>
      </c>
      <c r="K149" t="s">
        <v>88</v>
      </c>
      <c r="L149">
        <v>2000</v>
      </c>
      <c r="M149" s="2">
        <v>120846.2</v>
      </c>
      <c r="N149" t="s">
        <v>106</v>
      </c>
      <c r="O149" s="2">
        <v>894.49839999999995</v>
      </c>
      <c r="P149" t="s">
        <v>107</v>
      </c>
    </row>
    <row r="150" spans="1:16" x14ac:dyDescent="0.25">
      <c r="A150" s="1">
        <v>45721</v>
      </c>
      <c r="B150" t="s">
        <v>311</v>
      </c>
      <c r="C150" t="s">
        <v>78</v>
      </c>
      <c r="D150" t="s">
        <v>79</v>
      </c>
      <c r="E150" t="s">
        <v>109</v>
      </c>
      <c r="F150" t="s">
        <v>128</v>
      </c>
      <c r="G150" t="s">
        <v>105</v>
      </c>
      <c r="H150">
        <v>1</v>
      </c>
      <c r="I150" t="s">
        <v>10</v>
      </c>
      <c r="J150">
        <v>366</v>
      </c>
      <c r="K150" t="s">
        <v>88</v>
      </c>
      <c r="L150">
        <v>2000</v>
      </c>
      <c r="M150" s="2">
        <v>61398.22</v>
      </c>
      <c r="N150" t="s">
        <v>106</v>
      </c>
      <c r="O150" s="2">
        <v>454.46719999999999</v>
      </c>
      <c r="P150" t="s">
        <v>107</v>
      </c>
    </row>
    <row r="151" spans="1:16" x14ac:dyDescent="0.25">
      <c r="A151" s="1">
        <v>45721</v>
      </c>
      <c r="B151" t="s">
        <v>312</v>
      </c>
      <c r="C151" t="s">
        <v>78</v>
      </c>
      <c r="D151" t="s">
        <v>79</v>
      </c>
      <c r="E151" t="s">
        <v>109</v>
      </c>
      <c r="F151" t="s">
        <v>130</v>
      </c>
      <c r="G151" t="s">
        <v>105</v>
      </c>
      <c r="H151">
        <v>1</v>
      </c>
      <c r="I151" t="s">
        <v>10</v>
      </c>
      <c r="J151">
        <v>366</v>
      </c>
      <c r="K151" t="s">
        <v>88</v>
      </c>
      <c r="L151">
        <v>2000</v>
      </c>
      <c r="M151" s="2">
        <v>10465.68</v>
      </c>
      <c r="N151" t="s">
        <v>106</v>
      </c>
      <c r="O151" s="2">
        <v>77.466530000000006</v>
      </c>
      <c r="P151" t="s">
        <v>107</v>
      </c>
    </row>
    <row r="152" spans="1:16" x14ac:dyDescent="0.25">
      <c r="A152" s="1">
        <v>45721</v>
      </c>
      <c r="B152" t="s">
        <v>313</v>
      </c>
      <c r="C152" t="s">
        <v>78</v>
      </c>
      <c r="D152" t="s">
        <v>79</v>
      </c>
      <c r="E152" t="s">
        <v>109</v>
      </c>
      <c r="F152" t="s">
        <v>132</v>
      </c>
      <c r="G152" t="s">
        <v>105</v>
      </c>
      <c r="H152">
        <v>1</v>
      </c>
      <c r="I152" t="s">
        <v>10</v>
      </c>
      <c r="J152">
        <v>366</v>
      </c>
      <c r="K152" t="s">
        <v>88</v>
      </c>
      <c r="L152">
        <v>2000</v>
      </c>
      <c r="M152" s="2">
        <v>0</v>
      </c>
      <c r="N152" t="s">
        <v>106</v>
      </c>
      <c r="O152" s="2">
        <v>0</v>
      </c>
      <c r="P152" t="s">
        <v>107</v>
      </c>
    </row>
    <row r="153" spans="1:16" x14ac:dyDescent="0.25">
      <c r="A153" s="1">
        <v>45721</v>
      </c>
      <c r="B153" t="s">
        <v>314</v>
      </c>
      <c r="C153" t="s">
        <v>78</v>
      </c>
      <c r="D153" t="s">
        <v>79</v>
      </c>
      <c r="E153" t="s">
        <v>109</v>
      </c>
      <c r="F153" t="s">
        <v>134</v>
      </c>
      <c r="G153" t="s">
        <v>105</v>
      </c>
      <c r="H153">
        <v>1</v>
      </c>
      <c r="I153" t="s">
        <v>10</v>
      </c>
      <c r="J153">
        <v>366</v>
      </c>
      <c r="K153" t="s">
        <v>88</v>
      </c>
      <c r="L153">
        <v>2000</v>
      </c>
      <c r="M153" s="2">
        <v>396.70389999999998</v>
      </c>
      <c r="N153" t="s">
        <v>106</v>
      </c>
      <c r="O153" s="2">
        <v>2.9363860000000002</v>
      </c>
      <c r="P153" t="s">
        <v>107</v>
      </c>
    </row>
    <row r="154" spans="1:16" x14ac:dyDescent="0.25">
      <c r="A154" s="1">
        <v>45721</v>
      </c>
      <c r="B154" t="s">
        <v>315</v>
      </c>
      <c r="C154" t="s">
        <v>78</v>
      </c>
      <c r="D154" t="s">
        <v>79</v>
      </c>
      <c r="E154" t="s">
        <v>109</v>
      </c>
      <c r="F154" t="s">
        <v>136</v>
      </c>
      <c r="G154" t="s">
        <v>105</v>
      </c>
      <c r="H154">
        <v>1</v>
      </c>
      <c r="I154" t="s">
        <v>10</v>
      </c>
      <c r="J154">
        <v>366</v>
      </c>
      <c r="K154" t="s">
        <v>88</v>
      </c>
      <c r="L154">
        <v>2000</v>
      </c>
      <c r="M154" s="2">
        <v>14207.25</v>
      </c>
      <c r="N154" t="s">
        <v>106</v>
      </c>
      <c r="O154" s="2">
        <v>105.1615</v>
      </c>
      <c r="P154" t="s">
        <v>107</v>
      </c>
    </row>
    <row r="155" spans="1:16" x14ac:dyDescent="0.25">
      <c r="A155" s="1">
        <v>45721</v>
      </c>
      <c r="B155" t="s">
        <v>316</v>
      </c>
      <c r="C155" t="s">
        <v>78</v>
      </c>
      <c r="D155" t="s">
        <v>79</v>
      </c>
      <c r="E155" t="s">
        <v>109</v>
      </c>
      <c r="F155" t="s">
        <v>138</v>
      </c>
      <c r="G155" t="s">
        <v>105</v>
      </c>
      <c r="H155">
        <v>1</v>
      </c>
      <c r="I155" t="s">
        <v>10</v>
      </c>
      <c r="J155">
        <v>366</v>
      </c>
      <c r="K155" t="s">
        <v>88</v>
      </c>
      <c r="L155">
        <v>2000</v>
      </c>
      <c r="M155" s="2">
        <v>18600.36</v>
      </c>
      <c r="N155" t="s">
        <v>106</v>
      </c>
      <c r="O155" s="2">
        <v>137.67910000000001</v>
      </c>
      <c r="P155" t="s">
        <v>107</v>
      </c>
    </row>
    <row r="156" spans="1:16" x14ac:dyDescent="0.25">
      <c r="A156" s="1">
        <v>45721</v>
      </c>
      <c r="B156" t="s">
        <v>317</v>
      </c>
      <c r="C156" t="s">
        <v>78</v>
      </c>
      <c r="D156" t="s">
        <v>79</v>
      </c>
      <c r="E156" t="s">
        <v>109</v>
      </c>
      <c r="F156" t="s">
        <v>140</v>
      </c>
      <c r="G156" t="s">
        <v>105</v>
      </c>
      <c r="H156">
        <v>1</v>
      </c>
      <c r="I156" t="s">
        <v>10</v>
      </c>
      <c r="J156">
        <v>366</v>
      </c>
      <c r="K156" t="s">
        <v>88</v>
      </c>
      <c r="L156">
        <v>2000</v>
      </c>
      <c r="M156" s="2">
        <v>17728.23</v>
      </c>
      <c r="N156" t="s">
        <v>106</v>
      </c>
      <c r="O156" s="2">
        <v>131.2236</v>
      </c>
      <c r="P156" t="s">
        <v>107</v>
      </c>
    </row>
    <row r="157" spans="1:16" x14ac:dyDescent="0.25">
      <c r="A157" s="1">
        <v>45721</v>
      </c>
      <c r="B157" t="s">
        <v>318</v>
      </c>
      <c r="C157" t="s">
        <v>78</v>
      </c>
      <c r="D157" t="s">
        <v>79</v>
      </c>
      <c r="E157" t="s">
        <v>109</v>
      </c>
      <c r="F157" t="s">
        <v>142</v>
      </c>
      <c r="G157" t="s">
        <v>105</v>
      </c>
      <c r="H157">
        <v>1</v>
      </c>
      <c r="I157" t="s">
        <v>10</v>
      </c>
      <c r="J157">
        <v>366</v>
      </c>
      <c r="K157" t="s">
        <v>88</v>
      </c>
      <c r="L157">
        <v>2000</v>
      </c>
      <c r="M157" s="2">
        <v>36328.589999999997</v>
      </c>
      <c r="N157" t="s">
        <v>106</v>
      </c>
      <c r="O157" s="2">
        <v>268.90280000000001</v>
      </c>
      <c r="P157" t="s">
        <v>107</v>
      </c>
    </row>
    <row r="158" spans="1:16" x14ac:dyDescent="0.25">
      <c r="A158" s="1">
        <v>45721</v>
      </c>
      <c r="B158" t="s">
        <v>319</v>
      </c>
      <c r="C158" t="s">
        <v>78</v>
      </c>
      <c r="D158" t="s">
        <v>79</v>
      </c>
      <c r="E158" t="s">
        <v>109</v>
      </c>
      <c r="F158" t="s">
        <v>144</v>
      </c>
      <c r="G158" t="s">
        <v>105</v>
      </c>
      <c r="H158">
        <v>1</v>
      </c>
      <c r="I158" t="s">
        <v>10</v>
      </c>
      <c r="J158">
        <v>366</v>
      </c>
      <c r="K158" t="s">
        <v>88</v>
      </c>
      <c r="L158">
        <v>2000</v>
      </c>
      <c r="M158" s="2">
        <v>11346.59</v>
      </c>
      <c r="N158" t="s">
        <v>106</v>
      </c>
      <c r="O158" s="2">
        <v>83.986969999999999</v>
      </c>
      <c r="P158" t="s">
        <v>107</v>
      </c>
    </row>
    <row r="159" spans="1:16" x14ac:dyDescent="0.25">
      <c r="A159" s="1">
        <v>45721</v>
      </c>
      <c r="B159" t="s">
        <v>320</v>
      </c>
      <c r="C159" t="s">
        <v>78</v>
      </c>
      <c r="D159" t="s">
        <v>79</v>
      </c>
      <c r="E159" t="s">
        <v>109</v>
      </c>
      <c r="F159" t="s">
        <v>146</v>
      </c>
      <c r="G159" t="s">
        <v>105</v>
      </c>
      <c r="H159">
        <v>1</v>
      </c>
      <c r="I159" t="s">
        <v>10</v>
      </c>
      <c r="J159">
        <v>366</v>
      </c>
      <c r="K159" t="s">
        <v>88</v>
      </c>
      <c r="L159">
        <v>2000</v>
      </c>
      <c r="M159" s="2">
        <v>8948.02</v>
      </c>
      <c r="N159" t="s">
        <v>106</v>
      </c>
      <c r="O159" s="2">
        <v>66.232889999999998</v>
      </c>
      <c r="P159" t="s">
        <v>107</v>
      </c>
    </row>
    <row r="160" spans="1:16" x14ac:dyDescent="0.25">
      <c r="A160" s="1">
        <v>45721</v>
      </c>
      <c r="B160" t="s">
        <v>321</v>
      </c>
      <c r="C160" t="s">
        <v>78</v>
      </c>
      <c r="D160" t="s">
        <v>79</v>
      </c>
      <c r="E160" t="s">
        <v>109</v>
      </c>
      <c r="F160" t="s">
        <v>148</v>
      </c>
      <c r="G160" t="s">
        <v>105</v>
      </c>
      <c r="H160">
        <v>1</v>
      </c>
      <c r="I160" t="s">
        <v>10</v>
      </c>
      <c r="J160">
        <v>366</v>
      </c>
      <c r="K160" t="s">
        <v>88</v>
      </c>
      <c r="L160">
        <v>2000</v>
      </c>
      <c r="M160" s="2">
        <v>8948.02</v>
      </c>
      <c r="N160" t="s">
        <v>106</v>
      </c>
      <c r="O160" s="2">
        <v>66.232889999999998</v>
      </c>
      <c r="P160" t="s">
        <v>107</v>
      </c>
    </row>
    <row r="161" spans="1:16" x14ac:dyDescent="0.25">
      <c r="A161" s="1">
        <v>45721</v>
      </c>
      <c r="B161" t="s">
        <v>322</v>
      </c>
      <c r="C161" t="s">
        <v>78</v>
      </c>
      <c r="D161" t="s">
        <v>79</v>
      </c>
      <c r="E161" t="s">
        <v>109</v>
      </c>
      <c r="F161" t="s">
        <v>150</v>
      </c>
      <c r="G161" t="s">
        <v>105</v>
      </c>
      <c r="H161">
        <v>1</v>
      </c>
      <c r="I161" t="s">
        <v>10</v>
      </c>
      <c r="J161">
        <v>366</v>
      </c>
      <c r="K161" t="s">
        <v>88</v>
      </c>
      <c r="L161">
        <v>2000</v>
      </c>
      <c r="M161" s="2">
        <v>0</v>
      </c>
      <c r="N161" t="s">
        <v>106</v>
      </c>
      <c r="O161" s="2">
        <v>0</v>
      </c>
      <c r="P161" t="s">
        <v>107</v>
      </c>
    </row>
    <row r="162" spans="1:16" x14ac:dyDescent="0.25">
      <c r="A162" s="1">
        <v>45721</v>
      </c>
      <c r="B162" t="s">
        <v>323</v>
      </c>
      <c r="C162" t="s">
        <v>78</v>
      </c>
      <c r="D162" t="s">
        <v>79</v>
      </c>
      <c r="E162" t="s">
        <v>109</v>
      </c>
      <c r="F162" t="s">
        <v>152</v>
      </c>
      <c r="G162" t="s">
        <v>105</v>
      </c>
      <c r="H162">
        <v>1</v>
      </c>
      <c r="I162" t="s">
        <v>10</v>
      </c>
      <c r="J162">
        <v>366</v>
      </c>
      <c r="K162" t="s">
        <v>88</v>
      </c>
      <c r="L162">
        <v>2000</v>
      </c>
      <c r="M162" s="2">
        <v>0</v>
      </c>
      <c r="N162" t="s">
        <v>106</v>
      </c>
      <c r="O162" s="2">
        <v>0</v>
      </c>
      <c r="P162" t="s">
        <v>107</v>
      </c>
    </row>
    <row r="163" spans="1:16" x14ac:dyDescent="0.25">
      <c r="A163" s="1">
        <v>45721</v>
      </c>
      <c r="B163" t="s">
        <v>324</v>
      </c>
      <c r="C163" t="s">
        <v>78</v>
      </c>
      <c r="D163" t="s">
        <v>79</v>
      </c>
      <c r="E163" t="s">
        <v>109</v>
      </c>
      <c r="F163" t="s">
        <v>154</v>
      </c>
      <c r="G163" t="s">
        <v>105</v>
      </c>
      <c r="H163">
        <v>1</v>
      </c>
      <c r="I163" t="s">
        <v>10</v>
      </c>
      <c r="J163">
        <v>366</v>
      </c>
      <c r="K163" t="s">
        <v>88</v>
      </c>
      <c r="L163">
        <v>2000</v>
      </c>
      <c r="M163" s="2">
        <v>0</v>
      </c>
      <c r="N163" t="s">
        <v>106</v>
      </c>
      <c r="O163" s="2">
        <v>0</v>
      </c>
      <c r="P163" t="s">
        <v>107</v>
      </c>
    </row>
    <row r="164" spans="1:16" x14ac:dyDescent="0.25">
      <c r="A164" s="1">
        <v>45721</v>
      </c>
      <c r="B164" t="s">
        <v>325</v>
      </c>
      <c r="C164" t="s">
        <v>78</v>
      </c>
      <c r="D164" t="s">
        <v>79</v>
      </c>
      <c r="E164" t="s">
        <v>109</v>
      </c>
      <c r="F164" t="s">
        <v>156</v>
      </c>
      <c r="G164" t="s">
        <v>105</v>
      </c>
      <c r="H164">
        <v>1</v>
      </c>
      <c r="I164" t="s">
        <v>10</v>
      </c>
      <c r="J164">
        <v>366</v>
      </c>
      <c r="K164" t="s">
        <v>88</v>
      </c>
      <c r="L164">
        <v>2000</v>
      </c>
      <c r="M164" s="2">
        <v>0</v>
      </c>
      <c r="N164" t="s">
        <v>106</v>
      </c>
      <c r="O164" s="2">
        <v>0</v>
      </c>
      <c r="P164" t="s">
        <v>107</v>
      </c>
    </row>
    <row r="165" spans="1:16" x14ac:dyDescent="0.25">
      <c r="A165" s="1">
        <v>45721</v>
      </c>
      <c r="B165" t="s">
        <v>326</v>
      </c>
      <c r="C165" t="s">
        <v>78</v>
      </c>
      <c r="D165" t="s">
        <v>79</v>
      </c>
      <c r="E165" t="s">
        <v>109</v>
      </c>
      <c r="F165" t="s">
        <v>158</v>
      </c>
      <c r="G165" t="s">
        <v>105</v>
      </c>
      <c r="H165">
        <v>1</v>
      </c>
      <c r="I165" t="s">
        <v>10</v>
      </c>
      <c r="J165">
        <v>366</v>
      </c>
      <c r="K165" t="s">
        <v>88</v>
      </c>
      <c r="L165">
        <v>2000</v>
      </c>
      <c r="M165" s="2">
        <v>0</v>
      </c>
      <c r="N165" t="s">
        <v>106</v>
      </c>
      <c r="O165" s="2">
        <v>0</v>
      </c>
      <c r="P165" t="s">
        <v>107</v>
      </c>
    </row>
    <row r="166" spans="1:16" x14ac:dyDescent="0.25">
      <c r="A166" s="1">
        <v>45721</v>
      </c>
      <c r="B166" t="s">
        <v>327</v>
      </c>
      <c r="C166" t="s">
        <v>78</v>
      </c>
      <c r="D166" t="s">
        <v>79</v>
      </c>
      <c r="E166" t="s">
        <v>109</v>
      </c>
      <c r="F166" t="s">
        <v>160</v>
      </c>
      <c r="G166" t="s">
        <v>105</v>
      </c>
      <c r="H166">
        <v>1</v>
      </c>
      <c r="I166" t="s">
        <v>10</v>
      </c>
      <c r="J166">
        <v>366</v>
      </c>
      <c r="K166" t="s">
        <v>88</v>
      </c>
      <c r="L166">
        <v>2000</v>
      </c>
      <c r="M166" s="2">
        <v>0</v>
      </c>
      <c r="N166" t="s">
        <v>106</v>
      </c>
      <c r="O166" s="2">
        <v>0</v>
      </c>
      <c r="P166" t="s">
        <v>107</v>
      </c>
    </row>
    <row r="167" spans="1:16" x14ac:dyDescent="0.25">
      <c r="A167" s="1">
        <v>45721</v>
      </c>
      <c r="B167" t="s">
        <v>328</v>
      </c>
      <c r="C167" t="s">
        <v>78</v>
      </c>
      <c r="D167" t="s">
        <v>79</v>
      </c>
      <c r="E167" t="s">
        <v>109</v>
      </c>
      <c r="F167" t="s">
        <v>162</v>
      </c>
      <c r="G167" t="s">
        <v>105</v>
      </c>
      <c r="H167">
        <v>1</v>
      </c>
      <c r="I167" t="s">
        <v>10</v>
      </c>
      <c r="J167">
        <v>366</v>
      </c>
      <c r="K167" t="s">
        <v>88</v>
      </c>
      <c r="L167">
        <v>2000</v>
      </c>
      <c r="M167" s="2">
        <v>0</v>
      </c>
      <c r="N167" t="s">
        <v>106</v>
      </c>
      <c r="O167" s="2">
        <v>0</v>
      </c>
      <c r="P167" t="s">
        <v>107</v>
      </c>
    </row>
    <row r="168" spans="1:16" x14ac:dyDescent="0.25">
      <c r="A168" s="1">
        <v>45721</v>
      </c>
      <c r="B168" t="s">
        <v>329</v>
      </c>
      <c r="C168" t="s">
        <v>78</v>
      </c>
      <c r="D168" t="s">
        <v>79</v>
      </c>
      <c r="E168" t="s">
        <v>109</v>
      </c>
      <c r="F168" t="s">
        <v>164</v>
      </c>
      <c r="G168" t="s">
        <v>105</v>
      </c>
      <c r="H168">
        <v>1</v>
      </c>
      <c r="I168" t="s">
        <v>10</v>
      </c>
      <c r="J168">
        <v>366</v>
      </c>
      <c r="K168" t="s">
        <v>88</v>
      </c>
      <c r="L168">
        <v>2000</v>
      </c>
      <c r="M168" s="2">
        <v>0</v>
      </c>
      <c r="N168" t="s">
        <v>106</v>
      </c>
      <c r="O168" s="2">
        <v>0</v>
      </c>
      <c r="P168" t="s">
        <v>107</v>
      </c>
    </row>
    <row r="169" spans="1:16" x14ac:dyDescent="0.25">
      <c r="A169" s="1">
        <v>45721</v>
      </c>
      <c r="B169" t="s">
        <v>330</v>
      </c>
      <c r="C169" t="s">
        <v>78</v>
      </c>
      <c r="D169" t="s">
        <v>79</v>
      </c>
      <c r="E169" t="s">
        <v>109</v>
      </c>
      <c r="F169" t="s">
        <v>166</v>
      </c>
      <c r="G169" t="s">
        <v>105</v>
      </c>
      <c r="H169">
        <v>1</v>
      </c>
      <c r="I169" t="s">
        <v>10</v>
      </c>
      <c r="J169">
        <v>366</v>
      </c>
      <c r="K169" t="s">
        <v>88</v>
      </c>
      <c r="L169">
        <v>2000</v>
      </c>
      <c r="M169" s="2">
        <v>0</v>
      </c>
      <c r="N169" t="s">
        <v>106</v>
      </c>
      <c r="O169" s="2">
        <v>0</v>
      </c>
      <c r="P169" t="s">
        <v>107</v>
      </c>
    </row>
    <row r="170" spans="1:16" x14ac:dyDescent="0.25">
      <c r="A170" s="1">
        <v>45721</v>
      </c>
      <c r="B170" t="s">
        <v>331</v>
      </c>
      <c r="C170" t="s">
        <v>78</v>
      </c>
      <c r="D170" t="s">
        <v>79</v>
      </c>
      <c r="E170" t="s">
        <v>109</v>
      </c>
      <c r="F170" t="s">
        <v>168</v>
      </c>
      <c r="G170" t="s">
        <v>105</v>
      </c>
      <c r="H170">
        <v>1</v>
      </c>
      <c r="I170" t="s">
        <v>10</v>
      </c>
      <c r="J170">
        <v>366</v>
      </c>
      <c r="K170" t="s">
        <v>88</v>
      </c>
      <c r="L170">
        <v>2000</v>
      </c>
      <c r="M170" s="2">
        <v>0</v>
      </c>
      <c r="N170" t="s">
        <v>106</v>
      </c>
      <c r="O170" s="2">
        <v>0</v>
      </c>
      <c r="P170" t="s">
        <v>107</v>
      </c>
    </row>
    <row r="171" spans="1:16" x14ac:dyDescent="0.25">
      <c r="A171" s="1">
        <v>45721</v>
      </c>
      <c r="B171" t="s">
        <v>332</v>
      </c>
      <c r="C171" t="s">
        <v>78</v>
      </c>
      <c r="D171" t="s">
        <v>79</v>
      </c>
      <c r="E171" t="s">
        <v>109</v>
      </c>
      <c r="F171" t="s">
        <v>170</v>
      </c>
      <c r="G171" t="s">
        <v>105</v>
      </c>
      <c r="H171">
        <v>1</v>
      </c>
      <c r="I171" t="s">
        <v>10</v>
      </c>
      <c r="J171">
        <v>366</v>
      </c>
      <c r="K171" t="s">
        <v>88</v>
      </c>
      <c r="L171">
        <v>2000</v>
      </c>
      <c r="M171" s="2">
        <v>0</v>
      </c>
      <c r="N171" t="s">
        <v>106</v>
      </c>
      <c r="O171" s="2">
        <v>0</v>
      </c>
      <c r="P171" t="s">
        <v>107</v>
      </c>
    </row>
    <row r="172" spans="1:16" x14ac:dyDescent="0.25">
      <c r="A172" s="1">
        <v>45721</v>
      </c>
      <c r="B172" t="s">
        <v>333</v>
      </c>
      <c r="C172" t="s">
        <v>78</v>
      </c>
      <c r="D172" t="s">
        <v>79</v>
      </c>
      <c r="E172" t="s">
        <v>109</v>
      </c>
      <c r="F172" t="s">
        <v>172</v>
      </c>
      <c r="G172" t="s">
        <v>105</v>
      </c>
      <c r="H172">
        <v>1</v>
      </c>
      <c r="I172" t="s">
        <v>10</v>
      </c>
      <c r="J172">
        <v>366</v>
      </c>
      <c r="K172" t="s">
        <v>88</v>
      </c>
      <c r="L172">
        <v>2000</v>
      </c>
      <c r="M172" s="2">
        <v>20294.61</v>
      </c>
      <c r="N172" t="s">
        <v>106</v>
      </c>
      <c r="O172" s="2">
        <v>150.2199</v>
      </c>
      <c r="P172" t="s">
        <v>107</v>
      </c>
    </row>
    <row r="173" spans="1:16" x14ac:dyDescent="0.25">
      <c r="A173" s="1">
        <v>45721</v>
      </c>
      <c r="B173" t="s">
        <v>334</v>
      </c>
      <c r="C173" t="s">
        <v>78</v>
      </c>
      <c r="D173" t="s">
        <v>79</v>
      </c>
      <c r="E173" t="s">
        <v>109</v>
      </c>
      <c r="F173" t="s">
        <v>174</v>
      </c>
      <c r="G173" t="s">
        <v>105</v>
      </c>
      <c r="H173">
        <v>1</v>
      </c>
      <c r="I173" t="s">
        <v>10</v>
      </c>
      <c r="J173">
        <v>366</v>
      </c>
      <c r="K173" t="s">
        <v>88</v>
      </c>
      <c r="L173">
        <v>2000</v>
      </c>
      <c r="M173" s="2">
        <v>0.49727009999999999</v>
      </c>
      <c r="N173" t="s">
        <v>106</v>
      </c>
      <c r="O173" s="2">
        <v>3.6807739999999999E-3</v>
      </c>
      <c r="P173" t="s">
        <v>107</v>
      </c>
    </row>
    <row r="174" spans="1:16" x14ac:dyDescent="0.25">
      <c r="A174" s="1">
        <v>45721</v>
      </c>
      <c r="B174" t="s">
        <v>335</v>
      </c>
      <c r="C174" t="s">
        <v>78</v>
      </c>
      <c r="D174" t="s">
        <v>79</v>
      </c>
      <c r="E174" t="s">
        <v>109</v>
      </c>
      <c r="F174" t="s">
        <v>176</v>
      </c>
      <c r="G174" t="s">
        <v>105</v>
      </c>
      <c r="H174">
        <v>1</v>
      </c>
      <c r="I174" t="s">
        <v>10</v>
      </c>
      <c r="J174">
        <v>366</v>
      </c>
      <c r="K174" t="s">
        <v>88</v>
      </c>
      <c r="L174">
        <v>2000</v>
      </c>
      <c r="M174" s="2">
        <v>6392.317</v>
      </c>
      <c r="N174" t="s">
        <v>106</v>
      </c>
      <c r="O174" s="2">
        <v>47.31568</v>
      </c>
      <c r="P174" t="s">
        <v>107</v>
      </c>
    </row>
    <row r="175" spans="1:16" x14ac:dyDescent="0.25">
      <c r="A175" s="1">
        <v>45721</v>
      </c>
      <c r="B175" t="s">
        <v>336</v>
      </c>
      <c r="C175" t="s">
        <v>78</v>
      </c>
      <c r="D175" t="s">
        <v>79</v>
      </c>
      <c r="E175" t="s">
        <v>109</v>
      </c>
      <c r="F175" t="s">
        <v>178</v>
      </c>
      <c r="G175" t="s">
        <v>105</v>
      </c>
      <c r="H175">
        <v>1</v>
      </c>
      <c r="I175" t="s">
        <v>10</v>
      </c>
      <c r="J175">
        <v>366</v>
      </c>
      <c r="K175" t="s">
        <v>88</v>
      </c>
      <c r="L175">
        <v>2000</v>
      </c>
      <c r="M175" s="2">
        <v>0</v>
      </c>
      <c r="N175" t="s">
        <v>106</v>
      </c>
      <c r="O175" s="2">
        <v>0</v>
      </c>
      <c r="P175" t="s">
        <v>107</v>
      </c>
    </row>
    <row r="176" spans="1:16" x14ac:dyDescent="0.25">
      <c r="A176" s="1">
        <v>45721</v>
      </c>
      <c r="B176" t="s">
        <v>337</v>
      </c>
      <c r="C176" t="s">
        <v>78</v>
      </c>
      <c r="D176" t="s">
        <v>79</v>
      </c>
      <c r="E176" t="s">
        <v>109</v>
      </c>
      <c r="F176" t="s">
        <v>180</v>
      </c>
      <c r="G176" t="s">
        <v>105</v>
      </c>
      <c r="H176">
        <v>1</v>
      </c>
      <c r="I176" t="s">
        <v>10</v>
      </c>
      <c r="J176">
        <v>366</v>
      </c>
      <c r="K176" t="s">
        <v>88</v>
      </c>
      <c r="L176">
        <v>2000</v>
      </c>
      <c r="M176" s="2">
        <v>0</v>
      </c>
      <c r="N176" t="s">
        <v>106</v>
      </c>
      <c r="O176" s="2">
        <v>0</v>
      </c>
      <c r="P176" t="s">
        <v>107</v>
      </c>
    </row>
    <row r="177" spans="1:16" x14ac:dyDescent="0.25">
      <c r="A177" s="1">
        <v>45721</v>
      </c>
      <c r="B177" t="s">
        <v>338</v>
      </c>
      <c r="C177" t="s">
        <v>78</v>
      </c>
      <c r="D177" t="s">
        <v>79</v>
      </c>
      <c r="E177" t="s">
        <v>109</v>
      </c>
      <c r="F177" t="s">
        <v>182</v>
      </c>
      <c r="G177" t="s">
        <v>105</v>
      </c>
      <c r="H177">
        <v>1</v>
      </c>
      <c r="I177" t="s">
        <v>10</v>
      </c>
      <c r="J177">
        <v>366</v>
      </c>
      <c r="K177" t="s">
        <v>88</v>
      </c>
      <c r="L177">
        <v>2000</v>
      </c>
      <c r="M177" s="2">
        <v>0</v>
      </c>
      <c r="N177" t="s">
        <v>106</v>
      </c>
      <c r="O177" s="2">
        <v>0</v>
      </c>
      <c r="P177" t="s">
        <v>107</v>
      </c>
    </row>
    <row r="178" spans="1:16" x14ac:dyDescent="0.25">
      <c r="A178" s="1">
        <v>45721</v>
      </c>
      <c r="B178" t="s">
        <v>339</v>
      </c>
      <c r="C178" t="s">
        <v>78</v>
      </c>
      <c r="D178" t="s">
        <v>79</v>
      </c>
      <c r="E178" t="s">
        <v>109</v>
      </c>
      <c r="F178" t="s">
        <v>184</v>
      </c>
      <c r="G178" t="s">
        <v>105</v>
      </c>
      <c r="H178">
        <v>1</v>
      </c>
      <c r="I178" t="s">
        <v>10</v>
      </c>
      <c r="J178">
        <v>366</v>
      </c>
      <c r="K178" t="s">
        <v>88</v>
      </c>
      <c r="L178">
        <v>2000</v>
      </c>
      <c r="M178" s="2">
        <v>0</v>
      </c>
      <c r="N178" t="s">
        <v>106</v>
      </c>
      <c r="O178" s="2">
        <v>0</v>
      </c>
      <c r="P178" t="s">
        <v>107</v>
      </c>
    </row>
    <row r="179" spans="1:16" x14ac:dyDescent="0.25">
      <c r="A179" s="1">
        <v>45721</v>
      </c>
      <c r="B179" t="s">
        <v>340</v>
      </c>
      <c r="C179" t="s">
        <v>78</v>
      </c>
      <c r="D179" t="s">
        <v>79</v>
      </c>
      <c r="E179" t="s">
        <v>109</v>
      </c>
      <c r="F179" t="s">
        <v>185</v>
      </c>
      <c r="G179" t="s">
        <v>105</v>
      </c>
      <c r="H179">
        <v>1</v>
      </c>
      <c r="I179" t="s">
        <v>10</v>
      </c>
      <c r="J179">
        <v>366</v>
      </c>
      <c r="K179" t="s">
        <v>88</v>
      </c>
      <c r="L179">
        <v>2000</v>
      </c>
      <c r="M179" s="2">
        <v>0</v>
      </c>
      <c r="N179" t="s">
        <v>106</v>
      </c>
      <c r="O179" s="2">
        <v>0</v>
      </c>
      <c r="P179" t="s">
        <v>107</v>
      </c>
    </row>
    <row r="180" spans="1:16" x14ac:dyDescent="0.25">
      <c r="A180" s="1">
        <v>45721</v>
      </c>
      <c r="B180" t="s">
        <v>341</v>
      </c>
      <c r="C180" t="s">
        <v>78</v>
      </c>
      <c r="D180" t="s">
        <v>79</v>
      </c>
      <c r="E180" t="s">
        <v>109</v>
      </c>
      <c r="F180" t="s">
        <v>187</v>
      </c>
      <c r="G180" t="s">
        <v>105</v>
      </c>
      <c r="H180">
        <v>1</v>
      </c>
      <c r="I180" t="s">
        <v>10</v>
      </c>
      <c r="J180">
        <v>366</v>
      </c>
      <c r="K180" t="s">
        <v>88</v>
      </c>
      <c r="L180">
        <v>2000</v>
      </c>
      <c r="M180" s="2">
        <v>0</v>
      </c>
      <c r="N180" t="s">
        <v>106</v>
      </c>
      <c r="O180" s="2">
        <v>0</v>
      </c>
      <c r="P180" t="s">
        <v>107</v>
      </c>
    </row>
    <row r="181" spans="1:16" x14ac:dyDescent="0.25">
      <c r="A181" s="1">
        <v>45721</v>
      </c>
      <c r="B181" t="s">
        <v>342</v>
      </c>
      <c r="C181" t="s">
        <v>78</v>
      </c>
      <c r="D181" t="s">
        <v>79</v>
      </c>
      <c r="E181" t="s">
        <v>109</v>
      </c>
      <c r="F181" t="s">
        <v>189</v>
      </c>
      <c r="G181" t="s">
        <v>105</v>
      </c>
      <c r="H181">
        <v>1</v>
      </c>
      <c r="I181" t="s">
        <v>10</v>
      </c>
      <c r="J181">
        <v>366</v>
      </c>
      <c r="K181" t="s">
        <v>88</v>
      </c>
      <c r="L181">
        <v>2000</v>
      </c>
      <c r="M181" s="2">
        <v>0</v>
      </c>
      <c r="N181" t="s">
        <v>106</v>
      </c>
      <c r="O181" s="2">
        <v>0</v>
      </c>
      <c r="P181" t="s">
        <v>107</v>
      </c>
    </row>
    <row r="182" spans="1:16" x14ac:dyDescent="0.25">
      <c r="A182" s="1">
        <v>45721</v>
      </c>
      <c r="B182" t="s">
        <v>343</v>
      </c>
      <c r="C182" t="s">
        <v>78</v>
      </c>
      <c r="D182" t="s">
        <v>79</v>
      </c>
      <c r="E182" t="s">
        <v>109</v>
      </c>
      <c r="F182" t="s">
        <v>191</v>
      </c>
      <c r="G182" t="s">
        <v>105</v>
      </c>
      <c r="H182">
        <v>1</v>
      </c>
      <c r="I182" t="s">
        <v>10</v>
      </c>
      <c r="J182">
        <v>366</v>
      </c>
      <c r="K182" t="s">
        <v>88</v>
      </c>
      <c r="L182">
        <v>2000</v>
      </c>
      <c r="M182" s="2">
        <v>0</v>
      </c>
      <c r="N182" t="s">
        <v>106</v>
      </c>
      <c r="O182" s="2">
        <v>0</v>
      </c>
      <c r="P182" t="s">
        <v>107</v>
      </c>
    </row>
    <row r="183" spans="1:16" x14ac:dyDescent="0.25">
      <c r="A183" s="1">
        <v>45721</v>
      </c>
      <c r="B183" t="s">
        <v>344</v>
      </c>
      <c r="C183" t="s">
        <v>78</v>
      </c>
      <c r="D183" t="s">
        <v>79</v>
      </c>
      <c r="E183" t="s">
        <v>109</v>
      </c>
      <c r="F183" t="s">
        <v>193</v>
      </c>
      <c r="G183" t="s">
        <v>105</v>
      </c>
      <c r="H183">
        <v>1</v>
      </c>
      <c r="I183" t="s">
        <v>10</v>
      </c>
      <c r="J183">
        <v>366</v>
      </c>
      <c r="K183" t="s">
        <v>88</v>
      </c>
      <c r="L183">
        <v>2000</v>
      </c>
      <c r="M183" s="2">
        <v>0</v>
      </c>
      <c r="N183" t="s">
        <v>106</v>
      </c>
      <c r="O183" s="2">
        <v>0</v>
      </c>
      <c r="P183" t="s">
        <v>107</v>
      </c>
    </row>
    <row r="184" spans="1:16" x14ac:dyDescent="0.25">
      <c r="A184" s="1">
        <v>45721</v>
      </c>
      <c r="B184" t="s">
        <v>345</v>
      </c>
      <c r="C184" t="s">
        <v>78</v>
      </c>
      <c r="D184" t="s">
        <v>79</v>
      </c>
      <c r="E184" t="s">
        <v>109</v>
      </c>
      <c r="F184" t="s">
        <v>195</v>
      </c>
      <c r="G184" t="s">
        <v>105</v>
      </c>
      <c r="H184">
        <v>1</v>
      </c>
      <c r="I184" t="s">
        <v>10</v>
      </c>
      <c r="J184">
        <v>366</v>
      </c>
      <c r="K184" t="s">
        <v>88</v>
      </c>
      <c r="L184">
        <v>2000</v>
      </c>
      <c r="M184" s="2">
        <v>0</v>
      </c>
      <c r="N184" t="s">
        <v>106</v>
      </c>
      <c r="O184" s="2">
        <v>0</v>
      </c>
      <c r="P184" t="s">
        <v>107</v>
      </c>
    </row>
    <row r="185" spans="1:16" x14ac:dyDescent="0.25">
      <c r="A185" s="1">
        <v>45721</v>
      </c>
      <c r="B185" t="s">
        <v>346</v>
      </c>
      <c r="C185" t="s">
        <v>78</v>
      </c>
      <c r="D185" t="s">
        <v>79</v>
      </c>
      <c r="E185" t="s">
        <v>109</v>
      </c>
      <c r="F185" t="s">
        <v>197</v>
      </c>
      <c r="G185" t="s">
        <v>105</v>
      </c>
      <c r="H185">
        <v>1</v>
      </c>
      <c r="I185" t="s">
        <v>10</v>
      </c>
      <c r="J185">
        <v>366</v>
      </c>
      <c r="K185" t="s">
        <v>88</v>
      </c>
      <c r="L185">
        <v>2000</v>
      </c>
      <c r="M185" s="2">
        <v>0</v>
      </c>
      <c r="N185" t="s">
        <v>106</v>
      </c>
      <c r="O185" s="2">
        <v>0</v>
      </c>
      <c r="P185" t="s">
        <v>107</v>
      </c>
    </row>
    <row r="186" spans="1:16" x14ac:dyDescent="0.25">
      <c r="A186" s="1">
        <v>45721</v>
      </c>
      <c r="B186" t="s">
        <v>347</v>
      </c>
      <c r="C186" t="s">
        <v>78</v>
      </c>
      <c r="D186" t="s">
        <v>79</v>
      </c>
      <c r="E186" t="s">
        <v>109</v>
      </c>
      <c r="F186" t="s">
        <v>199</v>
      </c>
      <c r="G186" t="s">
        <v>105</v>
      </c>
      <c r="H186">
        <v>1</v>
      </c>
      <c r="I186" t="s">
        <v>10</v>
      </c>
      <c r="J186">
        <v>366</v>
      </c>
      <c r="K186" t="s">
        <v>88</v>
      </c>
      <c r="L186">
        <v>2000</v>
      </c>
      <c r="M186" s="2">
        <v>0</v>
      </c>
      <c r="N186" t="s">
        <v>106</v>
      </c>
      <c r="O186" s="2">
        <v>0</v>
      </c>
      <c r="P186" t="s">
        <v>107</v>
      </c>
    </row>
    <row r="187" spans="1:16" x14ac:dyDescent="0.25">
      <c r="A187" s="1">
        <v>45721</v>
      </c>
      <c r="B187" t="s">
        <v>348</v>
      </c>
      <c r="C187" t="s">
        <v>78</v>
      </c>
      <c r="D187" t="s">
        <v>79</v>
      </c>
      <c r="E187" t="s">
        <v>109</v>
      </c>
      <c r="F187" t="s">
        <v>201</v>
      </c>
      <c r="G187" t="s">
        <v>105</v>
      </c>
      <c r="H187">
        <v>1</v>
      </c>
      <c r="I187" t="s">
        <v>10</v>
      </c>
      <c r="J187">
        <v>366</v>
      </c>
      <c r="K187" t="s">
        <v>88</v>
      </c>
      <c r="L187">
        <v>2000</v>
      </c>
      <c r="M187" s="2">
        <v>0</v>
      </c>
      <c r="N187" t="s">
        <v>106</v>
      </c>
      <c r="O187" s="2">
        <v>0</v>
      </c>
      <c r="P187" t="s">
        <v>107</v>
      </c>
    </row>
    <row r="188" spans="1:16" x14ac:dyDescent="0.25">
      <c r="A188" s="1">
        <v>45721</v>
      </c>
      <c r="B188" t="s">
        <v>349</v>
      </c>
      <c r="C188" t="s">
        <v>78</v>
      </c>
      <c r="D188" t="s">
        <v>79</v>
      </c>
      <c r="E188" t="s">
        <v>109</v>
      </c>
      <c r="F188" t="s">
        <v>203</v>
      </c>
      <c r="G188" t="s">
        <v>105</v>
      </c>
      <c r="H188">
        <v>1</v>
      </c>
      <c r="I188" t="s">
        <v>10</v>
      </c>
      <c r="J188">
        <v>366</v>
      </c>
      <c r="K188" t="s">
        <v>88</v>
      </c>
      <c r="L188">
        <v>2000</v>
      </c>
      <c r="M188" s="2">
        <v>0</v>
      </c>
      <c r="N188" t="s">
        <v>106</v>
      </c>
      <c r="O188" s="2">
        <v>0</v>
      </c>
      <c r="P188" t="s">
        <v>107</v>
      </c>
    </row>
    <row r="189" spans="1:16" x14ac:dyDescent="0.25">
      <c r="A189" s="1">
        <v>45721</v>
      </c>
      <c r="B189" t="s">
        <v>350</v>
      </c>
      <c r="C189" t="s">
        <v>78</v>
      </c>
      <c r="D189" t="s">
        <v>79</v>
      </c>
      <c r="E189" t="s">
        <v>109</v>
      </c>
      <c r="F189" t="s">
        <v>205</v>
      </c>
      <c r="G189" t="s">
        <v>105</v>
      </c>
      <c r="H189">
        <v>1</v>
      </c>
      <c r="I189" t="s">
        <v>10</v>
      </c>
      <c r="J189">
        <v>366</v>
      </c>
      <c r="K189" t="s">
        <v>88</v>
      </c>
      <c r="L189">
        <v>2000</v>
      </c>
      <c r="M189" s="2">
        <v>18600.36</v>
      </c>
      <c r="N189" t="s">
        <v>106</v>
      </c>
      <c r="O189" s="2">
        <v>137.67910000000001</v>
      </c>
      <c r="P189" t="s">
        <v>107</v>
      </c>
    </row>
    <row r="190" spans="1:16" x14ac:dyDescent="0.25">
      <c r="A190" s="1">
        <v>45721</v>
      </c>
      <c r="B190" t="s">
        <v>351</v>
      </c>
      <c r="C190" t="s">
        <v>78</v>
      </c>
      <c r="D190" t="s">
        <v>79</v>
      </c>
      <c r="E190" t="s">
        <v>109</v>
      </c>
      <c r="F190" t="s">
        <v>207</v>
      </c>
      <c r="G190" t="s">
        <v>105</v>
      </c>
      <c r="H190">
        <v>1</v>
      </c>
      <c r="I190" t="s">
        <v>10</v>
      </c>
      <c r="J190">
        <v>366</v>
      </c>
      <c r="K190" t="s">
        <v>88</v>
      </c>
      <c r="L190">
        <v>2000</v>
      </c>
      <c r="M190" s="2">
        <v>17728.23</v>
      </c>
      <c r="N190" t="s">
        <v>106</v>
      </c>
      <c r="O190" s="2">
        <v>131.2236</v>
      </c>
      <c r="P190" t="s">
        <v>107</v>
      </c>
    </row>
    <row r="191" spans="1:16" x14ac:dyDescent="0.25">
      <c r="A191" s="1">
        <v>45721</v>
      </c>
      <c r="B191" t="s">
        <v>352</v>
      </c>
      <c r="C191" t="s">
        <v>78</v>
      </c>
      <c r="D191" t="s">
        <v>79</v>
      </c>
      <c r="E191" t="s">
        <v>109</v>
      </c>
      <c r="F191" t="s">
        <v>209</v>
      </c>
      <c r="G191" t="s">
        <v>105</v>
      </c>
      <c r="H191">
        <v>1</v>
      </c>
      <c r="I191" t="s">
        <v>10</v>
      </c>
      <c r="J191">
        <v>366</v>
      </c>
      <c r="K191" t="s">
        <v>88</v>
      </c>
      <c r="L191">
        <v>2000</v>
      </c>
      <c r="M191" s="2">
        <v>55765.7</v>
      </c>
      <c r="N191" t="s">
        <v>106</v>
      </c>
      <c r="O191" s="2">
        <v>412.77550000000002</v>
      </c>
      <c r="P191" t="s">
        <v>107</v>
      </c>
    </row>
    <row r="192" spans="1:16" x14ac:dyDescent="0.25">
      <c r="A192" s="1">
        <v>45721</v>
      </c>
      <c r="B192" t="s">
        <v>353</v>
      </c>
      <c r="C192" t="s">
        <v>78</v>
      </c>
      <c r="D192" t="s">
        <v>79</v>
      </c>
      <c r="E192" t="s">
        <v>109</v>
      </c>
      <c r="F192" t="s">
        <v>211</v>
      </c>
      <c r="G192" t="s">
        <v>105</v>
      </c>
      <c r="H192">
        <v>1</v>
      </c>
      <c r="I192" t="s">
        <v>10</v>
      </c>
      <c r="J192">
        <v>366</v>
      </c>
      <c r="K192" t="s">
        <v>88</v>
      </c>
      <c r="L192">
        <v>2000</v>
      </c>
      <c r="M192" s="2">
        <v>-5.8523830000000001E-3</v>
      </c>
      <c r="N192" t="s">
        <v>106</v>
      </c>
      <c r="O192" s="2">
        <v>-4.3319099999999997E-5</v>
      </c>
      <c r="P192" t="s">
        <v>107</v>
      </c>
    </row>
    <row r="193" spans="1:18" x14ac:dyDescent="0.25">
      <c r="A193" s="1">
        <v>45721</v>
      </c>
      <c r="B193" t="s">
        <v>354</v>
      </c>
      <c r="C193" t="s">
        <v>78</v>
      </c>
      <c r="D193" t="s">
        <v>79</v>
      </c>
      <c r="E193" t="s">
        <v>109</v>
      </c>
      <c r="F193" t="s">
        <v>213</v>
      </c>
      <c r="G193" t="s">
        <v>105</v>
      </c>
      <c r="H193">
        <v>1</v>
      </c>
      <c r="I193" t="s">
        <v>10</v>
      </c>
      <c r="J193">
        <v>366</v>
      </c>
      <c r="K193" t="s">
        <v>88</v>
      </c>
      <c r="L193">
        <v>2000</v>
      </c>
      <c r="M193" s="2">
        <v>4.6930459999999998</v>
      </c>
      <c r="N193" t="s">
        <v>106</v>
      </c>
      <c r="O193" s="2">
        <v>3.4737740000000003E-2</v>
      </c>
      <c r="P193" t="s">
        <v>107</v>
      </c>
    </row>
    <row r="194" spans="1:18" x14ac:dyDescent="0.25">
      <c r="A194" s="1">
        <v>45721</v>
      </c>
      <c r="B194" t="s">
        <v>355</v>
      </c>
      <c r="C194" t="s">
        <v>78</v>
      </c>
      <c r="D194" t="s">
        <v>79</v>
      </c>
      <c r="E194" t="s">
        <v>109</v>
      </c>
      <c r="F194" t="s">
        <v>215</v>
      </c>
      <c r="G194" t="s">
        <v>105</v>
      </c>
      <c r="H194">
        <v>1</v>
      </c>
      <c r="I194" t="s">
        <v>10</v>
      </c>
      <c r="J194">
        <v>366</v>
      </c>
      <c r="K194" t="s">
        <v>88</v>
      </c>
      <c r="L194">
        <v>2000</v>
      </c>
      <c r="M194" s="2">
        <v>0</v>
      </c>
      <c r="N194" t="s">
        <v>106</v>
      </c>
      <c r="O194" s="2">
        <v>0</v>
      </c>
      <c r="P194" t="s">
        <v>107</v>
      </c>
    </row>
    <row r="195" spans="1:18" x14ac:dyDescent="0.25">
      <c r="A195" s="1">
        <v>45721</v>
      </c>
      <c r="B195" t="s">
        <v>356</v>
      </c>
      <c r="C195" t="s">
        <v>78</v>
      </c>
      <c r="D195" t="s">
        <v>79</v>
      </c>
      <c r="E195" t="s">
        <v>109</v>
      </c>
      <c r="F195" t="s">
        <v>217</v>
      </c>
      <c r="G195" t="s">
        <v>105</v>
      </c>
      <c r="H195">
        <v>1</v>
      </c>
      <c r="I195" t="s">
        <v>10</v>
      </c>
      <c r="J195">
        <v>366</v>
      </c>
      <c r="K195" t="s">
        <v>88</v>
      </c>
      <c r="L195">
        <v>2000</v>
      </c>
      <c r="M195" s="2">
        <v>0</v>
      </c>
      <c r="N195" t="s">
        <v>106</v>
      </c>
      <c r="O195" s="2">
        <v>0</v>
      </c>
      <c r="P195" t="s">
        <v>107</v>
      </c>
    </row>
    <row r="196" spans="1:18" x14ac:dyDescent="0.25">
      <c r="A196" s="1">
        <v>45721</v>
      </c>
      <c r="B196" t="s">
        <v>356</v>
      </c>
      <c r="C196" t="s">
        <v>78</v>
      </c>
      <c r="D196" t="s">
        <v>79</v>
      </c>
    </row>
    <row r="197" spans="1:18" x14ac:dyDescent="0.25">
      <c r="A197" s="1">
        <v>45721</v>
      </c>
      <c r="B197" t="s">
        <v>356</v>
      </c>
      <c r="C197" t="s">
        <v>78</v>
      </c>
      <c r="D197" t="s">
        <v>79</v>
      </c>
      <c r="E197" t="s">
        <v>80</v>
      </c>
      <c r="F197" t="s">
        <v>81</v>
      </c>
      <c r="G197" t="s">
        <v>82</v>
      </c>
      <c r="H197" t="s">
        <v>218</v>
      </c>
      <c r="I197" t="s">
        <v>219</v>
      </c>
      <c r="J197" t="s">
        <v>89</v>
      </c>
      <c r="K197" t="s">
        <v>90</v>
      </c>
      <c r="L197" t="s">
        <v>220</v>
      </c>
    </row>
    <row r="198" spans="1:18" x14ac:dyDescent="0.25">
      <c r="A198" s="1">
        <v>45721</v>
      </c>
      <c r="B198" t="s">
        <v>357</v>
      </c>
      <c r="C198" t="s">
        <v>78</v>
      </c>
      <c r="D198" t="s">
        <v>79</v>
      </c>
      <c r="E198" t="s">
        <v>102</v>
      </c>
      <c r="F198" t="s">
        <v>89</v>
      </c>
      <c r="G198" t="s">
        <v>90</v>
      </c>
      <c r="H198" t="s">
        <v>104</v>
      </c>
      <c r="I198" t="s">
        <v>105</v>
      </c>
      <c r="J198">
        <v>1</v>
      </c>
      <c r="K198" t="s">
        <v>10</v>
      </c>
      <c r="L198">
        <v>366</v>
      </c>
      <c r="M198" t="s">
        <v>88</v>
      </c>
      <c r="N198">
        <v>2000</v>
      </c>
      <c r="O198" s="2">
        <v>-3825.5639999999999</v>
      </c>
      <c r="P198" t="s">
        <v>106</v>
      </c>
      <c r="Q198" s="2">
        <v>-28.316669999999998</v>
      </c>
      <c r="R198" t="s">
        <v>107</v>
      </c>
    </row>
    <row r="199" spans="1:18" x14ac:dyDescent="0.25">
      <c r="A199" s="1">
        <v>45721</v>
      </c>
      <c r="B199" t="s">
        <v>358</v>
      </c>
      <c r="C199" t="s">
        <v>78</v>
      </c>
      <c r="D199" t="s">
        <v>79</v>
      </c>
      <c r="E199" t="s">
        <v>109</v>
      </c>
      <c r="F199" t="s">
        <v>223</v>
      </c>
      <c r="G199" t="s">
        <v>105</v>
      </c>
      <c r="H199">
        <v>1</v>
      </c>
      <c r="I199" t="s">
        <v>10</v>
      </c>
      <c r="J199">
        <v>366</v>
      </c>
      <c r="K199" t="s">
        <v>88</v>
      </c>
      <c r="L199">
        <v>2000</v>
      </c>
      <c r="M199" s="2">
        <v>33.271410000000003</v>
      </c>
      <c r="N199" t="s">
        <v>106</v>
      </c>
      <c r="O199" s="2">
        <v>0.24627370000000001</v>
      </c>
      <c r="P199" t="s">
        <v>107</v>
      </c>
    </row>
    <row r="200" spans="1:18" x14ac:dyDescent="0.25">
      <c r="A200" s="1">
        <v>45721</v>
      </c>
      <c r="B200" t="s">
        <v>359</v>
      </c>
      <c r="C200" t="s">
        <v>78</v>
      </c>
      <c r="D200" t="s">
        <v>79</v>
      </c>
      <c r="E200" t="s">
        <v>109</v>
      </c>
      <c r="F200" t="s">
        <v>225</v>
      </c>
      <c r="G200" t="s">
        <v>105</v>
      </c>
      <c r="H200">
        <v>1</v>
      </c>
      <c r="I200" t="s">
        <v>10</v>
      </c>
      <c r="J200">
        <v>366</v>
      </c>
      <c r="K200" t="s">
        <v>88</v>
      </c>
      <c r="L200">
        <v>2000</v>
      </c>
      <c r="M200" s="2">
        <v>48921.14</v>
      </c>
      <c r="N200" t="s">
        <v>106</v>
      </c>
      <c r="O200" s="2">
        <v>362.1123</v>
      </c>
      <c r="P200" t="s">
        <v>107</v>
      </c>
    </row>
    <row r="201" spans="1:18" x14ac:dyDescent="0.25">
      <c r="A201" s="1">
        <v>45721</v>
      </c>
      <c r="B201" t="s">
        <v>360</v>
      </c>
      <c r="C201" t="s">
        <v>78</v>
      </c>
      <c r="D201" t="s">
        <v>79</v>
      </c>
      <c r="E201" t="s">
        <v>109</v>
      </c>
      <c r="F201" t="s">
        <v>226</v>
      </c>
      <c r="G201" t="s">
        <v>105</v>
      </c>
      <c r="H201">
        <v>1</v>
      </c>
      <c r="I201" t="s">
        <v>10</v>
      </c>
      <c r="J201">
        <v>366</v>
      </c>
      <c r="K201" t="s">
        <v>88</v>
      </c>
      <c r="L201">
        <v>2000</v>
      </c>
      <c r="M201" s="2">
        <v>52746.71</v>
      </c>
      <c r="N201" t="s">
        <v>106</v>
      </c>
      <c r="O201" s="2">
        <v>390.42899999999997</v>
      </c>
      <c r="P201" t="s">
        <v>107</v>
      </c>
    </row>
    <row r="202" spans="1:18" x14ac:dyDescent="0.25">
      <c r="A202" s="1">
        <v>45721</v>
      </c>
      <c r="B202" t="s">
        <v>360</v>
      </c>
      <c r="C202" t="s">
        <v>78</v>
      </c>
      <c r="D202" t="s">
        <v>79</v>
      </c>
      <c r="E202" t="s">
        <v>109</v>
      </c>
      <c r="F202" t="s">
        <v>228</v>
      </c>
      <c r="G202" t="s">
        <v>105</v>
      </c>
      <c r="H202">
        <v>1</v>
      </c>
      <c r="I202" t="s">
        <v>10</v>
      </c>
      <c r="J202">
        <v>366</v>
      </c>
      <c r="K202" t="s">
        <v>88</v>
      </c>
      <c r="L202">
        <v>2000</v>
      </c>
      <c r="M202" s="2">
        <v>2.3592959999999999E-3</v>
      </c>
      <c r="N202" t="s">
        <v>106</v>
      </c>
      <c r="O202" s="2">
        <v>1.7463420000000001E-5</v>
      </c>
      <c r="P202" t="s">
        <v>107</v>
      </c>
    </row>
    <row r="203" spans="1:18" x14ac:dyDescent="0.25">
      <c r="A203" s="1">
        <v>45721</v>
      </c>
      <c r="B203" t="s">
        <v>361</v>
      </c>
      <c r="C203" t="s">
        <v>230</v>
      </c>
      <c r="D203" t="s">
        <v>79</v>
      </c>
      <c r="E203" t="s">
        <v>230</v>
      </c>
      <c r="F203" t="s">
        <v>219</v>
      </c>
      <c r="G203" t="s">
        <v>231</v>
      </c>
      <c r="H203" s="1">
        <v>36891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8DF6-C19E-4C62-A420-DFF437D6C098}">
  <dimension ref="A1:E60"/>
  <sheetViews>
    <sheetView tabSelected="1" workbookViewId="0">
      <selection activeCell="A22" sqref="A22"/>
    </sheetView>
  </sheetViews>
  <sheetFormatPr defaultRowHeight="15" x14ac:dyDescent="0.25"/>
  <cols>
    <col min="1" max="1" width="46.5703125" bestFit="1" customWidth="1"/>
    <col min="2" max="3" width="19.28515625" style="3" customWidth="1"/>
    <col min="4" max="4" width="19.28515625" style="5" customWidth="1"/>
    <col min="5" max="5" width="19.28515625" style="4" customWidth="1"/>
  </cols>
  <sheetData>
    <row r="1" spans="1:5" x14ac:dyDescent="0.25">
      <c r="A1" s="6" t="s">
        <v>365</v>
      </c>
      <c r="B1" s="7" t="s">
        <v>362</v>
      </c>
      <c r="C1" s="7" t="s">
        <v>8</v>
      </c>
      <c r="D1" s="8" t="s">
        <v>364</v>
      </c>
      <c r="E1" s="9" t="s">
        <v>363</v>
      </c>
    </row>
    <row r="2" spans="1:5" x14ac:dyDescent="0.25">
      <c r="A2" t="str">
        <f>log_last_100_comparison!F39</f>
        <v>precipitation</v>
      </c>
      <c r="B2" s="3">
        <f>log_last_100_comparison!M39</f>
        <v>111706.5</v>
      </c>
      <c r="C2" s="3">
        <f>log_last_100_comparison!M141</f>
        <v>111706</v>
      </c>
      <c r="D2" s="5">
        <f>B2-C2</f>
        <v>0.5</v>
      </c>
      <c r="E2" s="4">
        <f>IF(D2&gt;0,D2/C2,0)</f>
        <v>4.476035306966501E-6</v>
      </c>
    </row>
    <row r="3" spans="1:5" x14ac:dyDescent="0.25">
      <c r="A3" t="str">
        <f>log_last_100_comparison!F40</f>
        <v>baseflow</v>
      </c>
      <c r="B3" s="3">
        <f>log_last_100_comparison!M40</f>
        <v>28659.57</v>
      </c>
      <c r="C3" s="3">
        <f>log_last_100_comparison!M142</f>
        <v>28659.81</v>
      </c>
      <c r="D3" s="5">
        <f t="shared" ref="D3:D60" si="0">B3-C3</f>
        <v>-0.24000000000160071</v>
      </c>
      <c r="E3" s="4">
        <f t="shared" ref="E3:E60" si="1">IF(D3&gt;0,D3/C3,0)</f>
        <v>0</v>
      </c>
    </row>
    <row r="4" spans="1:5" x14ac:dyDescent="0.25">
      <c r="A4" t="str">
        <f>log_last_100_comparison!F41</f>
        <v>surfaceWaterInf</v>
      </c>
      <c r="B4" s="3">
        <f>log_last_100_comparison!M41</f>
        <v>0.55909710000000001</v>
      </c>
      <c r="C4" s="3">
        <f>log_last_100_comparison!M143</f>
        <v>0.55909750000000003</v>
      </c>
      <c r="D4" s="5">
        <f t="shared" si="0"/>
        <v>-4.0000000001150227E-7</v>
      </c>
      <c r="E4" s="4">
        <f t="shared" si="1"/>
        <v>0</v>
      </c>
    </row>
    <row r="5" spans="1:5" x14ac:dyDescent="0.25">
      <c r="A5" t="str">
        <f>log_last_100_comparison!F42</f>
        <v>runoff</v>
      </c>
      <c r="B5" s="3">
        <f>log_last_100_comparison!M42</f>
        <v>48954.33</v>
      </c>
      <c r="C5" s="3">
        <f>log_last_100_comparison!M144</f>
        <v>48954.41</v>
      </c>
      <c r="D5" s="5">
        <f t="shared" si="0"/>
        <v>-8.000000000174623E-2</v>
      </c>
      <c r="E5" s="4">
        <f t="shared" si="1"/>
        <v>0</v>
      </c>
    </row>
    <row r="6" spans="1:5" x14ac:dyDescent="0.25">
      <c r="A6" t="str">
        <f>log_last_100_comparison!F43</f>
        <v>unmetDemand</v>
      </c>
      <c r="B6" s="3">
        <f>log_last_100_comparison!M43</f>
        <v>0</v>
      </c>
      <c r="C6" s="3">
        <f>log_last_100_comparison!M145</f>
        <v>0</v>
      </c>
      <c r="D6" s="5">
        <f t="shared" si="0"/>
        <v>0</v>
      </c>
      <c r="E6" s="4">
        <f t="shared" si="1"/>
        <v>0</v>
      </c>
    </row>
    <row r="7" spans="1:5" x14ac:dyDescent="0.25">
      <c r="A7" t="str">
        <f>log_last_100_comparison!F44</f>
        <v>infiltration</v>
      </c>
      <c r="B7" s="3">
        <f>log_last_100_comparison!M44</f>
        <v>88584.37</v>
      </c>
      <c r="C7" s="3">
        <f>log_last_100_comparison!M146</f>
        <v>88584.22</v>
      </c>
      <c r="D7" s="5">
        <f t="shared" si="0"/>
        <v>0.14999999999417923</v>
      </c>
      <c r="E7" s="4">
        <f t="shared" si="1"/>
        <v>1.6933038411827662E-6</v>
      </c>
    </row>
    <row r="8" spans="1:5" x14ac:dyDescent="0.25">
      <c r="A8" t="str">
        <f>log_last_100_comparison!F45</f>
        <v>gwRecharge</v>
      </c>
      <c r="B8" s="3">
        <f>log_last_100_comparison!M45</f>
        <v>28714.65</v>
      </c>
      <c r="C8" s="3">
        <f>log_last_100_comparison!M147</f>
        <v>28714.7</v>
      </c>
      <c r="D8" s="5">
        <f t="shared" si="0"/>
        <v>-4.9999999999272404E-2</v>
      </c>
      <c r="E8" s="4">
        <f t="shared" si="1"/>
        <v>0</v>
      </c>
    </row>
    <row r="9" spans="1:5" x14ac:dyDescent="0.25">
      <c r="A9" t="str">
        <f>log_last_100_comparison!F46</f>
        <v>netLqWaterToSoil</v>
      </c>
      <c r="B9" s="3">
        <f>log_last_100_comparison!M46</f>
        <v>99930.74</v>
      </c>
      <c r="C9" s="3">
        <f>log_last_100_comparison!M148</f>
        <v>99930.31</v>
      </c>
      <c r="D9" s="5">
        <f t="shared" si="0"/>
        <v>0.430000000007567</v>
      </c>
      <c r="E9" s="4">
        <f t="shared" si="1"/>
        <v>4.3029987599114527E-6</v>
      </c>
    </row>
    <row r="10" spans="1:5" x14ac:dyDescent="0.25">
      <c r="A10" t="str">
        <f>log_last_100_comparison!F47</f>
        <v>totalPotET</v>
      </c>
      <c r="B10" s="3">
        <f>log_last_100_comparison!M47</f>
        <v>120845.7</v>
      </c>
      <c r="C10" s="3">
        <f>log_last_100_comparison!M149</f>
        <v>120846.2</v>
      </c>
      <c r="D10" s="5">
        <f t="shared" si="0"/>
        <v>-0.5</v>
      </c>
      <c r="E10" s="4">
        <f t="shared" si="1"/>
        <v>0</v>
      </c>
    </row>
    <row r="11" spans="1:5" x14ac:dyDescent="0.25">
      <c r="A11" t="str">
        <f>log_last_100_comparison!F48</f>
        <v>actualET</v>
      </c>
      <c r="B11" s="3">
        <f>log_last_100_comparison!M48</f>
        <v>61398.3</v>
      </c>
      <c r="C11" s="3">
        <f>log_last_100_comparison!M150</f>
        <v>61398.22</v>
      </c>
      <c r="D11" s="5">
        <f t="shared" si="0"/>
        <v>8.000000000174623E-2</v>
      </c>
      <c r="E11" s="4">
        <f t="shared" si="1"/>
        <v>1.3029693694987612E-6</v>
      </c>
    </row>
    <row r="12" spans="1:5" x14ac:dyDescent="0.25">
      <c r="A12" t="str">
        <f>log_last_100_comparison!F49</f>
        <v>interceptEvap</v>
      </c>
      <c r="B12" s="3">
        <f>log_last_100_comparison!M49</f>
        <v>10465.68</v>
      </c>
      <c r="C12" s="3">
        <f>log_last_100_comparison!M151</f>
        <v>10465.68</v>
      </c>
      <c r="D12" s="5">
        <f t="shared" si="0"/>
        <v>0</v>
      </c>
      <c r="E12" s="4">
        <f t="shared" si="1"/>
        <v>0</v>
      </c>
    </row>
    <row r="13" spans="1:5" x14ac:dyDescent="0.25">
      <c r="A13" t="str">
        <f>log_last_100_comparison!F50</f>
        <v>openWaterEvap</v>
      </c>
      <c r="B13" s="3">
        <f>log_last_100_comparison!M50</f>
        <v>0</v>
      </c>
      <c r="C13" s="3">
        <f>log_last_100_comparison!M152</f>
        <v>0</v>
      </c>
      <c r="D13" s="5">
        <f t="shared" si="0"/>
        <v>0</v>
      </c>
      <c r="E13" s="4">
        <f t="shared" si="1"/>
        <v>0</v>
      </c>
    </row>
    <row r="14" spans="1:5" x14ac:dyDescent="0.25">
      <c r="A14" t="str">
        <f>log_last_100_comparison!F51</f>
        <v>actSnowFreeWaterEvap</v>
      </c>
      <c r="B14" s="3">
        <f>log_last_100_comparison!M51</f>
        <v>396.7038</v>
      </c>
      <c r="C14" s="3">
        <f>log_last_100_comparison!M153</f>
        <v>396.70389999999998</v>
      </c>
      <c r="D14" s="5">
        <f t="shared" si="0"/>
        <v>-9.9999999974897946E-5</v>
      </c>
      <c r="E14" s="4">
        <f t="shared" si="1"/>
        <v>0</v>
      </c>
    </row>
    <row r="15" spans="1:5" x14ac:dyDescent="0.25">
      <c r="A15" t="str">
        <f>log_last_100_comparison!F52</f>
        <v>actBareSoilEvap</v>
      </c>
      <c r="B15" s="3">
        <f>log_last_100_comparison!M52</f>
        <v>14207.27</v>
      </c>
      <c r="C15" s="3">
        <f>log_last_100_comparison!M154</f>
        <v>14207.25</v>
      </c>
      <c r="D15" s="5">
        <f t="shared" si="0"/>
        <v>2.0000000000436557E-2</v>
      </c>
      <c r="E15" s="4">
        <f t="shared" si="1"/>
        <v>1.4077319678640523E-6</v>
      </c>
    </row>
    <row r="16" spans="1:5" x14ac:dyDescent="0.25">
      <c r="A16" t="str">
        <f>log_last_100_comparison!F53</f>
        <v>actTranspiUppTotal</v>
      </c>
      <c r="B16" s="3">
        <f>log_last_100_comparison!M53</f>
        <v>18600.28</v>
      </c>
      <c r="C16" s="3">
        <f>log_last_100_comparison!M155</f>
        <v>18600.36</v>
      </c>
      <c r="D16" s="5">
        <f t="shared" si="0"/>
        <v>-8.000000000174623E-2</v>
      </c>
      <c r="E16" s="4">
        <f t="shared" si="1"/>
        <v>0</v>
      </c>
    </row>
    <row r="17" spans="1:5" x14ac:dyDescent="0.25">
      <c r="A17" t="str">
        <f>log_last_100_comparison!F54</f>
        <v>actTranspiLowTotal</v>
      </c>
      <c r="B17" s="3">
        <f>log_last_100_comparison!M54</f>
        <v>17728.150000000001</v>
      </c>
      <c r="C17" s="3">
        <f>log_last_100_comparison!M156</f>
        <v>17728.23</v>
      </c>
      <c r="D17" s="5">
        <f t="shared" si="0"/>
        <v>-7.9999999998108251E-2</v>
      </c>
      <c r="E17" s="4">
        <f t="shared" si="1"/>
        <v>0</v>
      </c>
    </row>
    <row r="18" spans="1:5" x14ac:dyDescent="0.25">
      <c r="A18" t="str">
        <f>log_last_100_comparison!F55</f>
        <v>actTranspiTotal</v>
      </c>
      <c r="B18" s="3">
        <f>log_last_100_comparison!M55</f>
        <v>36328.44</v>
      </c>
      <c r="C18" s="3">
        <f>log_last_100_comparison!M157</f>
        <v>36328.589999999997</v>
      </c>
      <c r="D18" s="5">
        <f t="shared" si="0"/>
        <v>-0.14999999999417923</v>
      </c>
      <c r="E18" s="4">
        <f t="shared" si="1"/>
        <v>0</v>
      </c>
    </row>
    <row r="19" spans="1:5" x14ac:dyDescent="0.25">
      <c r="A19" t="str">
        <f>log_last_100_comparison!F56</f>
        <v>directRunoff</v>
      </c>
      <c r="B19" s="3">
        <f>log_last_100_comparison!M56</f>
        <v>11346.45</v>
      </c>
      <c r="C19" s="3">
        <f>log_last_100_comparison!M158</f>
        <v>11346.59</v>
      </c>
      <c r="D19" s="5">
        <f t="shared" si="0"/>
        <v>-0.13999999999941792</v>
      </c>
      <c r="E19" s="4">
        <f t="shared" si="1"/>
        <v>0</v>
      </c>
    </row>
    <row r="20" spans="1:5" x14ac:dyDescent="0.25">
      <c r="A20" t="str">
        <f>log_last_100_comparison!F57</f>
        <v>interflow</v>
      </c>
      <c r="B20" s="3">
        <f>log_last_100_comparison!M57</f>
        <v>8947.9709999999995</v>
      </c>
      <c r="C20" s="3">
        <f>log_last_100_comparison!M159</f>
        <v>8948.02</v>
      </c>
      <c r="D20" s="5">
        <f t="shared" si="0"/>
        <v>-4.9000000000887667E-2</v>
      </c>
      <c r="E20" s="4">
        <f t="shared" si="1"/>
        <v>0</v>
      </c>
    </row>
    <row r="21" spans="1:5" x14ac:dyDescent="0.25">
      <c r="A21" t="str">
        <f>log_last_100_comparison!F58</f>
        <v>interflowTotal</v>
      </c>
      <c r="B21" s="3">
        <f>log_last_100_comparison!M58</f>
        <v>8947.9709999999995</v>
      </c>
      <c r="C21" s="3">
        <f>log_last_100_comparison!M160</f>
        <v>8948.02</v>
      </c>
      <c r="D21" s="5">
        <f t="shared" si="0"/>
        <v>-4.9000000000887667E-2</v>
      </c>
      <c r="E21" s="4">
        <f t="shared" si="1"/>
        <v>0</v>
      </c>
    </row>
    <row r="22" spans="1:5" x14ac:dyDescent="0.25">
      <c r="A22" t="str">
        <f>log_last_100_comparison!F59</f>
        <v>irrGrossDemand</v>
      </c>
      <c r="B22" s="3">
        <f>log_last_100_comparison!M59</f>
        <v>0</v>
      </c>
      <c r="C22" s="3">
        <f>log_last_100_comparison!M161</f>
        <v>0</v>
      </c>
      <c r="D22" s="5">
        <f t="shared" si="0"/>
        <v>0</v>
      </c>
      <c r="E22" s="4">
        <f t="shared" si="1"/>
        <v>0</v>
      </c>
    </row>
    <row r="23" spans="1:5" x14ac:dyDescent="0.25">
      <c r="A23" t="str">
        <f>log_last_100_comparison!F60</f>
        <v>nonIrrGrossDemand</v>
      </c>
      <c r="B23" s="3">
        <f>log_last_100_comparison!M60</f>
        <v>0</v>
      </c>
      <c r="C23" s="3">
        <f>log_last_100_comparison!M162</f>
        <v>0</v>
      </c>
      <c r="D23" s="5">
        <f t="shared" si="0"/>
        <v>0</v>
      </c>
      <c r="E23" s="4">
        <f t="shared" si="1"/>
        <v>0</v>
      </c>
    </row>
    <row r="24" spans="1:5" x14ac:dyDescent="0.25">
      <c r="A24" t="str">
        <f>log_last_100_comparison!F61</f>
        <v>totalPotentialGrossDemand</v>
      </c>
      <c r="B24" s="3">
        <f>log_last_100_comparison!M61</f>
        <v>0</v>
      </c>
      <c r="C24" s="3">
        <f>log_last_100_comparison!M163</f>
        <v>0</v>
      </c>
      <c r="D24" s="5">
        <f t="shared" si="0"/>
        <v>0</v>
      </c>
      <c r="E24" s="4">
        <f t="shared" si="1"/>
        <v>0</v>
      </c>
    </row>
    <row r="25" spans="1:5" x14ac:dyDescent="0.25">
      <c r="A25" t="str">
        <f>log_last_100_comparison!F62</f>
        <v>actSurfaceWaterAbstract</v>
      </c>
      <c r="B25" s="3">
        <f>log_last_100_comparison!M62</f>
        <v>0</v>
      </c>
      <c r="C25" s="3">
        <f>log_last_100_comparison!M164</f>
        <v>0</v>
      </c>
      <c r="D25" s="5">
        <f t="shared" si="0"/>
        <v>0</v>
      </c>
      <c r="E25" s="4">
        <f t="shared" si="1"/>
        <v>0</v>
      </c>
    </row>
    <row r="26" spans="1:5" x14ac:dyDescent="0.25">
      <c r="A26" t="str">
        <f>log_last_100_comparison!F63</f>
        <v>allocSurfaceWaterAbstract</v>
      </c>
      <c r="B26" s="3">
        <f>log_last_100_comparison!M63</f>
        <v>0</v>
      </c>
      <c r="C26" s="3">
        <f>log_last_100_comparison!M165</f>
        <v>0</v>
      </c>
      <c r="D26" s="5">
        <f t="shared" si="0"/>
        <v>0</v>
      </c>
      <c r="E26" s="4">
        <f t="shared" si="1"/>
        <v>0</v>
      </c>
    </row>
    <row r="27" spans="1:5" x14ac:dyDescent="0.25">
      <c r="A27" t="str">
        <f>log_last_100_comparison!F64</f>
        <v>desalinationAbstraction</v>
      </c>
      <c r="B27" s="3">
        <f>log_last_100_comparison!M64</f>
        <v>0</v>
      </c>
      <c r="C27" s="3">
        <f>log_last_100_comparison!M166</f>
        <v>0</v>
      </c>
      <c r="D27" s="5">
        <f t="shared" si="0"/>
        <v>0</v>
      </c>
      <c r="E27" s="4">
        <f t="shared" si="1"/>
        <v>0</v>
      </c>
    </row>
    <row r="28" spans="1:5" x14ac:dyDescent="0.25">
      <c r="A28" t="str">
        <f>log_last_100_comparison!F65</f>
        <v>desalinationAllocation</v>
      </c>
      <c r="B28" s="3">
        <f>log_last_100_comparison!M65</f>
        <v>0</v>
      </c>
      <c r="C28" s="3">
        <f>log_last_100_comparison!M167</f>
        <v>0</v>
      </c>
      <c r="D28" s="5">
        <f t="shared" si="0"/>
        <v>0</v>
      </c>
      <c r="E28" s="4">
        <f t="shared" si="1"/>
        <v>0</v>
      </c>
    </row>
    <row r="29" spans="1:5" x14ac:dyDescent="0.25">
      <c r="A29" t="str">
        <f>log_last_100_comparison!F66</f>
        <v>nonFossilGroundwaterAbs</v>
      </c>
      <c r="B29" s="3">
        <f>log_last_100_comparison!M66</f>
        <v>0</v>
      </c>
      <c r="C29" s="3">
        <f>log_last_100_comparison!M168</f>
        <v>0</v>
      </c>
      <c r="D29" s="5">
        <f t="shared" si="0"/>
        <v>0</v>
      </c>
      <c r="E29" s="4">
        <f t="shared" si="1"/>
        <v>0</v>
      </c>
    </row>
    <row r="30" spans="1:5" x14ac:dyDescent="0.25">
      <c r="A30" t="str">
        <f>log_last_100_comparison!F67</f>
        <v>allocNonFossilGroundwater</v>
      </c>
      <c r="B30" s="3">
        <f>log_last_100_comparison!M67</f>
        <v>0</v>
      </c>
      <c r="C30" s="3">
        <f>log_last_100_comparison!M169</f>
        <v>0</v>
      </c>
      <c r="D30" s="5">
        <f t="shared" si="0"/>
        <v>0</v>
      </c>
      <c r="E30" s="4">
        <f t="shared" si="1"/>
        <v>0</v>
      </c>
    </row>
    <row r="31" spans="1:5" x14ac:dyDescent="0.25">
      <c r="A31" t="str">
        <f>log_last_100_comparison!F68</f>
        <v>fossilGroundwaterAbstr</v>
      </c>
      <c r="B31" s="3">
        <f>log_last_100_comparison!M68</f>
        <v>0</v>
      </c>
      <c r="C31" s="3">
        <f>log_last_100_comparison!M170</f>
        <v>0</v>
      </c>
      <c r="D31" s="5">
        <f t="shared" si="0"/>
        <v>0</v>
      </c>
      <c r="E31" s="4">
        <f t="shared" si="1"/>
        <v>0</v>
      </c>
    </row>
    <row r="32" spans="1:5" x14ac:dyDescent="0.25">
      <c r="A32" t="str">
        <f>log_last_100_comparison!F69</f>
        <v>fossilGroundwaterAlloc</v>
      </c>
      <c r="B32" s="3">
        <f>log_last_100_comparison!M69</f>
        <v>0</v>
      </c>
      <c r="C32" s="3">
        <f>log_last_100_comparison!M171</f>
        <v>0</v>
      </c>
      <c r="D32" s="5">
        <f t="shared" si="0"/>
        <v>0</v>
      </c>
      <c r="E32" s="4">
        <f t="shared" si="1"/>
        <v>0</v>
      </c>
    </row>
    <row r="33" spans="1:5" x14ac:dyDescent="0.25">
      <c r="A33" t="str">
        <f>log_last_100_comparison!F70</f>
        <v>landSurfaceRunoff</v>
      </c>
      <c r="B33" s="3">
        <f>log_last_100_comparison!M70</f>
        <v>20294.47</v>
      </c>
      <c r="C33" s="3">
        <f>log_last_100_comparison!M172</f>
        <v>20294.61</v>
      </c>
      <c r="D33" s="5">
        <f t="shared" si="0"/>
        <v>-0.13999999999941792</v>
      </c>
      <c r="E33" s="4">
        <f t="shared" si="1"/>
        <v>0</v>
      </c>
    </row>
    <row r="34" spans="1:5" x14ac:dyDescent="0.25">
      <c r="A34" t="str">
        <f>log_last_100_comparison!F71</f>
        <v>satExcess</v>
      </c>
      <c r="B34" s="3">
        <f>log_last_100_comparison!M71</f>
        <v>0.49726910000000002</v>
      </c>
      <c r="C34" s="3">
        <f>log_last_100_comparison!M173</f>
        <v>0.49727009999999999</v>
      </c>
      <c r="D34" s="5">
        <f t="shared" si="0"/>
        <v>-9.9999999997324451E-7</v>
      </c>
      <c r="E34" s="4">
        <f t="shared" si="1"/>
        <v>0</v>
      </c>
    </row>
    <row r="35" spans="1:5" x14ac:dyDescent="0.25">
      <c r="A35" t="str">
        <f>log_last_100_comparison!F72</f>
        <v>snowMelt</v>
      </c>
      <c r="B35" s="3">
        <f>log_last_100_comparison!M72</f>
        <v>6392.3119999999999</v>
      </c>
      <c r="C35" s="3">
        <f>log_last_100_comparison!M174</f>
        <v>6392.317</v>
      </c>
      <c r="D35" s="5">
        <f t="shared" si="0"/>
        <v>-5.0000000001091394E-3</v>
      </c>
      <c r="E35" s="4">
        <f t="shared" si="1"/>
        <v>0</v>
      </c>
    </row>
    <row r="36" spans="1:5" x14ac:dyDescent="0.25">
      <c r="A36" t="str">
        <f>log_last_100_comparison!F73</f>
        <v>totalGroundwaterAbstraction</v>
      </c>
      <c r="B36" s="3">
        <f>log_last_100_comparison!M73</f>
        <v>0</v>
      </c>
      <c r="C36" s="3">
        <f>log_last_100_comparison!M175</f>
        <v>0</v>
      </c>
      <c r="D36" s="5">
        <f t="shared" si="0"/>
        <v>0</v>
      </c>
      <c r="E36" s="4">
        <f t="shared" si="1"/>
        <v>0</v>
      </c>
    </row>
    <row r="37" spans="1:5" x14ac:dyDescent="0.25">
      <c r="A37" t="str">
        <f>log_last_100_comparison!F74</f>
        <v>totalGroundwaterAllocation</v>
      </c>
      <c r="B37" s="3">
        <f>log_last_100_comparison!M74</f>
        <v>0</v>
      </c>
      <c r="C37" s="3">
        <f>log_last_100_comparison!M176</f>
        <v>0</v>
      </c>
      <c r="D37" s="5">
        <f t="shared" si="0"/>
        <v>0</v>
      </c>
      <c r="E37" s="4">
        <f t="shared" si="1"/>
        <v>0</v>
      </c>
    </row>
    <row r="38" spans="1:5" x14ac:dyDescent="0.25">
      <c r="A38" t="str">
        <f>log_last_100_comparison!F75</f>
        <v>totalPotentialMaximumGrossDemand</v>
      </c>
      <c r="B38" s="3">
        <f>log_last_100_comparison!M75</f>
        <v>0</v>
      </c>
      <c r="C38" s="3">
        <f>log_last_100_comparison!M177</f>
        <v>0</v>
      </c>
      <c r="D38" s="5">
        <f t="shared" si="0"/>
        <v>0</v>
      </c>
      <c r="E38" s="4">
        <f t="shared" si="1"/>
        <v>0</v>
      </c>
    </row>
    <row r="39" spans="1:5" x14ac:dyDescent="0.25">
      <c r="A39" t="str">
        <f>log_last_100_comparison!F76</f>
        <v>totalPotentialMaximumIrrGrossDemand</v>
      </c>
      <c r="B39" s="3">
        <f>log_last_100_comparison!M76</f>
        <v>0</v>
      </c>
      <c r="C39" s="3">
        <f>log_last_100_comparison!M178</f>
        <v>0</v>
      </c>
      <c r="D39" s="5">
        <f t="shared" si="0"/>
        <v>0</v>
      </c>
      <c r="E39" s="4">
        <f t="shared" si="1"/>
        <v>0</v>
      </c>
    </row>
    <row r="40" spans="1:5" x14ac:dyDescent="0.25">
      <c r="A40" t="str">
        <f>log_last_100_comparison!F77</f>
        <v>totalPotentialMaximumIrrGrossDemandPaddy</v>
      </c>
      <c r="B40" s="3">
        <f>log_last_100_comparison!M77</f>
        <v>0</v>
      </c>
      <c r="C40" s="3">
        <f>log_last_100_comparison!M179</f>
        <v>0</v>
      </c>
      <c r="D40" s="5">
        <f t="shared" si="0"/>
        <v>0</v>
      </c>
      <c r="E40" s="4">
        <f t="shared" si="1"/>
        <v>0</v>
      </c>
    </row>
    <row r="41" spans="1:5" x14ac:dyDescent="0.25">
      <c r="A41" t="str">
        <f>log_last_100_comparison!F78</f>
        <v>totalPotentialMaximumIrrGrossDemandNonPaddy</v>
      </c>
      <c r="B41" s="3">
        <f>log_last_100_comparison!M78</f>
        <v>0</v>
      </c>
      <c r="C41" s="3">
        <f>log_last_100_comparison!M180</f>
        <v>0</v>
      </c>
      <c r="D41" s="5">
        <f t="shared" si="0"/>
        <v>0</v>
      </c>
      <c r="E41" s="4">
        <f t="shared" si="1"/>
        <v>0</v>
      </c>
    </row>
    <row r="42" spans="1:5" x14ac:dyDescent="0.25">
      <c r="A42" t="str">
        <f>log_last_100_comparison!F79</f>
        <v>totalPotentialMaximumNonIrrGrossDemand</v>
      </c>
      <c r="B42" s="3">
        <f>log_last_100_comparison!M79</f>
        <v>0</v>
      </c>
      <c r="C42" s="3">
        <f>log_last_100_comparison!M181</f>
        <v>0</v>
      </c>
      <c r="D42" s="5">
        <f t="shared" si="0"/>
        <v>0</v>
      </c>
      <c r="E42" s="4">
        <f t="shared" si="1"/>
        <v>0</v>
      </c>
    </row>
    <row r="43" spans="1:5" x14ac:dyDescent="0.25">
      <c r="A43" t="str">
        <f>log_last_100_comparison!F80</f>
        <v>irrGrossDemandPaddy</v>
      </c>
      <c r="B43" s="3">
        <f>log_last_100_comparison!M80</f>
        <v>0</v>
      </c>
      <c r="C43" s="3">
        <f>log_last_100_comparison!M182</f>
        <v>0</v>
      </c>
      <c r="D43" s="5">
        <f t="shared" si="0"/>
        <v>0</v>
      </c>
      <c r="E43" s="4">
        <f t="shared" si="1"/>
        <v>0</v>
      </c>
    </row>
    <row r="44" spans="1:5" x14ac:dyDescent="0.25">
      <c r="A44" t="str">
        <f>log_last_100_comparison!F81</f>
        <v>irrGrossDemandNonPaddy</v>
      </c>
      <c r="B44" s="3">
        <f>log_last_100_comparison!M81</f>
        <v>0</v>
      </c>
      <c r="C44" s="3">
        <f>log_last_100_comparison!M183</f>
        <v>0</v>
      </c>
      <c r="D44" s="5">
        <f t="shared" si="0"/>
        <v>0</v>
      </c>
      <c r="E44" s="4">
        <f t="shared" si="1"/>
        <v>0</v>
      </c>
    </row>
    <row r="45" spans="1:5" x14ac:dyDescent="0.25">
      <c r="A45" t="str">
        <f>log_last_100_comparison!F82</f>
        <v>domesticWaterWithdrawal</v>
      </c>
      <c r="B45" s="3">
        <f>log_last_100_comparison!M82</f>
        <v>0</v>
      </c>
      <c r="C45" s="3">
        <f>log_last_100_comparison!M184</f>
        <v>0</v>
      </c>
      <c r="D45" s="5">
        <f t="shared" si="0"/>
        <v>0</v>
      </c>
      <c r="E45" s="4">
        <f t="shared" si="1"/>
        <v>0</v>
      </c>
    </row>
    <row r="46" spans="1:5" x14ac:dyDescent="0.25">
      <c r="A46" t="str">
        <f>log_last_100_comparison!F83</f>
        <v>industryWaterWithdrawal</v>
      </c>
      <c r="B46" s="3">
        <f>log_last_100_comparison!M83</f>
        <v>0</v>
      </c>
      <c r="C46" s="3">
        <f>log_last_100_comparison!M185</f>
        <v>0</v>
      </c>
      <c r="D46" s="5">
        <f t="shared" si="0"/>
        <v>0</v>
      </c>
      <c r="E46" s="4">
        <f t="shared" si="1"/>
        <v>0</v>
      </c>
    </row>
    <row r="47" spans="1:5" x14ac:dyDescent="0.25">
      <c r="A47" t="str">
        <f>log_last_100_comparison!F84</f>
        <v>livestockWaterWithdrawal</v>
      </c>
      <c r="B47" s="3">
        <f>log_last_100_comparison!M84</f>
        <v>0</v>
      </c>
      <c r="C47" s="3">
        <f>log_last_100_comparison!M186</f>
        <v>0</v>
      </c>
      <c r="D47" s="5">
        <f t="shared" si="0"/>
        <v>0</v>
      </c>
      <c r="E47" s="4">
        <f t="shared" si="1"/>
        <v>0</v>
      </c>
    </row>
    <row r="48" spans="1:5" x14ac:dyDescent="0.25">
      <c r="A48" t="str">
        <f>log_last_100_comparison!F85</f>
        <v>nonIrrReturnFlow</v>
      </c>
      <c r="B48" s="3">
        <f>log_last_100_comparison!M85</f>
        <v>0</v>
      </c>
      <c r="C48" s="3">
        <f>log_last_100_comparison!M187</f>
        <v>0</v>
      </c>
      <c r="D48" s="5">
        <f t="shared" si="0"/>
        <v>0</v>
      </c>
      <c r="E48" s="4">
        <f t="shared" si="1"/>
        <v>0</v>
      </c>
    </row>
    <row r="49" spans="1:5" x14ac:dyDescent="0.25">
      <c r="A49" t="str">
        <f>log_last_100_comparison!F86</f>
        <v>irrigationTranspirationDeficit</v>
      </c>
      <c r="B49" s="3">
        <f>log_last_100_comparison!M86</f>
        <v>0</v>
      </c>
      <c r="C49" s="3">
        <f>log_last_100_comparison!M188</f>
        <v>0</v>
      </c>
      <c r="D49" s="5">
        <f t="shared" si="0"/>
        <v>0</v>
      </c>
      <c r="E49" s="4">
        <f t="shared" si="1"/>
        <v>0</v>
      </c>
    </row>
    <row r="50" spans="1:5" x14ac:dyDescent="0.25">
      <c r="A50" t="str">
        <f>log_last_100_comparison!F87</f>
        <v>actTranspiUpp</v>
      </c>
      <c r="B50" s="3">
        <f>log_last_100_comparison!M87</f>
        <v>18600.28</v>
      </c>
      <c r="C50" s="3">
        <f>log_last_100_comparison!M189</f>
        <v>18600.36</v>
      </c>
      <c r="D50" s="5">
        <f t="shared" si="0"/>
        <v>-8.000000000174623E-2</v>
      </c>
      <c r="E50" s="4">
        <f t="shared" si="1"/>
        <v>0</v>
      </c>
    </row>
    <row r="51" spans="1:5" x14ac:dyDescent="0.25">
      <c r="A51" t="str">
        <f>log_last_100_comparison!F88</f>
        <v>actTranspiLow</v>
      </c>
      <c r="B51" s="3">
        <f>log_last_100_comparison!M88</f>
        <v>17728.150000000001</v>
      </c>
      <c r="C51" s="3">
        <f>log_last_100_comparison!M190</f>
        <v>17728.23</v>
      </c>
      <c r="D51" s="5">
        <f t="shared" si="0"/>
        <v>-7.9999999998108251E-2</v>
      </c>
      <c r="E51" s="4">
        <f t="shared" si="1"/>
        <v>0</v>
      </c>
    </row>
    <row r="52" spans="1:5" x14ac:dyDescent="0.25">
      <c r="A52" t="str">
        <f>log_last_100_comparison!F89</f>
        <v>netPercUpp</v>
      </c>
      <c r="B52" s="3">
        <f>log_last_100_comparison!M89</f>
        <v>55765.57</v>
      </c>
      <c r="C52" s="3">
        <f>log_last_100_comparison!M191</f>
        <v>55765.7</v>
      </c>
      <c r="D52" s="5">
        <f t="shared" si="0"/>
        <v>-0.12999999999738066</v>
      </c>
      <c r="E52" s="4">
        <f t="shared" si="1"/>
        <v>0</v>
      </c>
    </row>
    <row r="53" spans="1:5" x14ac:dyDescent="0.25">
      <c r="A53" t="str">
        <f>log_last_100_comparison!F90</f>
        <v>waterBalance</v>
      </c>
      <c r="B53" s="3">
        <f>log_last_100_comparison!M90</f>
        <v>-5.8524329999999998E-3</v>
      </c>
      <c r="C53" s="3">
        <f>log_last_100_comparison!M192</f>
        <v>-5.8523830000000001E-3</v>
      </c>
      <c r="D53" s="5">
        <f t="shared" si="0"/>
        <v>-4.999999999970306E-8</v>
      </c>
      <c r="E53" s="4">
        <f t="shared" si="1"/>
        <v>0</v>
      </c>
    </row>
    <row r="54" spans="1:5" x14ac:dyDescent="0.25">
      <c r="A54" t="str">
        <f>log_last_100_comparison!F91</f>
        <v>absWaterBalance</v>
      </c>
      <c r="B54" s="3">
        <f>log_last_100_comparison!M91</f>
        <v>4.6930459999999998</v>
      </c>
      <c r="C54" s="3">
        <f>log_last_100_comparison!M193</f>
        <v>4.6930459999999998</v>
      </c>
      <c r="D54" s="5">
        <f t="shared" si="0"/>
        <v>0</v>
      </c>
      <c r="E54" s="4">
        <f t="shared" si="1"/>
        <v>0</v>
      </c>
    </row>
    <row r="55" spans="1:5" x14ac:dyDescent="0.25">
      <c r="A55" t="str">
        <f>log_last_100_comparison!F92</f>
        <v>irrigationEvaporationWaterUse</v>
      </c>
      <c r="B55" s="3">
        <f>log_last_100_comparison!M92</f>
        <v>0</v>
      </c>
      <c r="C55" s="3">
        <f>log_last_100_comparison!M194</f>
        <v>0</v>
      </c>
      <c r="D55" s="5">
        <f t="shared" si="0"/>
        <v>0</v>
      </c>
      <c r="E55" s="4">
        <f t="shared" si="1"/>
        <v>0</v>
      </c>
    </row>
    <row r="56" spans="1:5" x14ac:dyDescent="0.25">
      <c r="A56" t="str">
        <f>log_last_100_comparison!F93</f>
        <v>nonIrrigationWaterUse</v>
      </c>
      <c r="B56" s="3">
        <f>log_last_100_comparison!M93</f>
        <v>0</v>
      </c>
      <c r="C56" s="3">
        <f>log_last_100_comparison!M195</f>
        <v>0</v>
      </c>
      <c r="D56" s="5">
        <f t="shared" si="0"/>
        <v>0</v>
      </c>
      <c r="E56" s="4">
        <f t="shared" si="1"/>
        <v>0</v>
      </c>
    </row>
    <row r="57" spans="1:5" x14ac:dyDescent="0.25">
      <c r="A57" t="str">
        <f>log_last_100_comparison!F97</f>
        <v>waterBodyEvaporation</v>
      </c>
      <c r="B57" s="3">
        <f>log_last_100_comparison!M97</f>
        <v>26.26398</v>
      </c>
      <c r="C57" s="3">
        <f>log_last_100_comparison!M199</f>
        <v>33.271410000000003</v>
      </c>
      <c r="D57" s="5">
        <f t="shared" si="0"/>
        <v>-7.0074300000000029</v>
      </c>
      <c r="E57" s="4">
        <f t="shared" si="1"/>
        <v>0</v>
      </c>
    </row>
    <row r="58" spans="1:5" x14ac:dyDescent="0.25">
      <c r="A58" t="str">
        <f>log_last_100_comparison!F98</f>
        <v>surfaceWaterInput</v>
      </c>
      <c r="B58" s="3">
        <f>log_last_100_comparison!M98</f>
        <v>48928.32</v>
      </c>
      <c r="C58" s="3">
        <f>log_last_100_comparison!M200</f>
        <v>48921.14</v>
      </c>
      <c r="D58" s="5">
        <f t="shared" si="0"/>
        <v>7.180000000000291</v>
      </c>
      <c r="E58" s="4">
        <f t="shared" si="1"/>
        <v>1.4676681696297941E-4</v>
      </c>
    </row>
    <row r="59" spans="1:5" x14ac:dyDescent="0.25">
      <c r="A59" t="str">
        <f>log_last_100_comparison!F99</f>
        <v>dischargeAtPitTotal</v>
      </c>
      <c r="B59" s="3">
        <f>log_last_100_comparison!M99</f>
        <v>52723.519999999997</v>
      </c>
      <c r="C59" s="3">
        <f>log_last_100_comparison!M201</f>
        <v>52746.71</v>
      </c>
      <c r="D59" s="5">
        <f t="shared" si="0"/>
        <v>-23.190000000002328</v>
      </c>
      <c r="E59" s="4">
        <f t="shared" si="1"/>
        <v>0</v>
      </c>
    </row>
    <row r="60" spans="1:5" x14ac:dyDescent="0.25">
      <c r="A60" t="str">
        <f>log_last_100_comparison!F100</f>
        <v>surfaceWaterBalance</v>
      </c>
      <c r="B60" s="3">
        <f>log_last_100_comparison!M100</f>
        <v>-0.31142710000000001</v>
      </c>
      <c r="C60" s="3">
        <f>log_last_100_comparison!M202</f>
        <v>2.3592959999999999E-3</v>
      </c>
      <c r="D60" s="5">
        <f t="shared" si="0"/>
        <v>-0.31378639600000002</v>
      </c>
      <c r="E60" s="4">
        <f t="shared" si="1"/>
        <v>0</v>
      </c>
    </row>
  </sheetData>
  <pageMargins left="0.7" right="0.7" top="0.75" bottom="0.75" header="0.3" footer="0.3"/>
  <pageSetup paperSize="9" orientation="portrait" r:id="rId1"/>
</worksheet>
</file>