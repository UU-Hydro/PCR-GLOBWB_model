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win\github\edwinkost\PCR-GLOBWB_model\testing_with_lue\"/>
    </mc:Choice>
  </mc:AlternateContent>
  <xr:revisionPtr revIDLastSave="0" documentId="13_ncr:1_{621976AA-0A81-4A6B-A347-3F7562A417AD}" xr6:coauthVersionLast="47" xr6:coauthVersionMax="47" xr10:uidLastSave="{00000000-0000-0000-0000-000000000000}"/>
  <bookViews>
    <workbookView xWindow="-120" yWindow="-120" windowWidth="29040" windowHeight="15840" activeTab="2" xr2:uid="{51A954AA-17A7-4669-A695-9D1C4E1C61B3}"/>
  </bookViews>
  <sheets>
    <sheet name="lue" sheetId="1" r:id="rId1"/>
    <sheet name="pcraster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3" l="1"/>
  <c r="B61" i="3"/>
  <c r="D61" i="3" s="1"/>
  <c r="E61" i="3" s="1"/>
  <c r="C61" i="3"/>
  <c r="A62" i="3"/>
  <c r="B62" i="3"/>
  <c r="C62" i="3"/>
  <c r="D62" i="3"/>
  <c r="E62" i="3" s="1"/>
  <c r="A64" i="3"/>
  <c r="B64" i="3"/>
  <c r="C64" i="3"/>
  <c r="D64" i="3" s="1"/>
  <c r="E64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63" i="3"/>
  <c r="C4" i="3"/>
  <c r="C5" i="3"/>
  <c r="D5" i="3" s="1"/>
  <c r="C6" i="3"/>
  <c r="D6" i="3" s="1"/>
  <c r="C7" i="3"/>
  <c r="D7" i="3" s="1"/>
  <c r="C8" i="3"/>
  <c r="C9" i="3"/>
  <c r="C10" i="3"/>
  <c r="C11" i="3"/>
  <c r="C12" i="3"/>
  <c r="C13" i="3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C21" i="3"/>
  <c r="D21" i="3" s="1"/>
  <c r="C22" i="3"/>
  <c r="D22" i="3" s="1"/>
  <c r="C23" i="3"/>
  <c r="D23" i="3" s="1"/>
  <c r="C24" i="3"/>
  <c r="C25" i="3"/>
  <c r="C26" i="3"/>
  <c r="C27" i="3"/>
  <c r="D27" i="3" s="1"/>
  <c r="C28" i="3"/>
  <c r="C29" i="3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C37" i="3"/>
  <c r="D37" i="3" s="1"/>
  <c r="C38" i="3"/>
  <c r="D38" i="3" s="1"/>
  <c r="C39" i="3"/>
  <c r="D39" i="3" s="1"/>
  <c r="C40" i="3"/>
  <c r="C41" i="3"/>
  <c r="C42" i="3"/>
  <c r="C43" i="3"/>
  <c r="D43" i="3" s="1"/>
  <c r="C44" i="3"/>
  <c r="C45" i="3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C53" i="3"/>
  <c r="D53" i="3" s="1"/>
  <c r="C54" i="3"/>
  <c r="D54" i="3" s="1"/>
  <c r="C55" i="3"/>
  <c r="D55" i="3" s="1"/>
  <c r="C56" i="3"/>
  <c r="C57" i="3"/>
  <c r="C58" i="3"/>
  <c r="C63" i="3"/>
  <c r="C3" i="3"/>
  <c r="D58" i="3"/>
  <c r="D63" i="3"/>
  <c r="B58" i="3"/>
  <c r="B63" i="3"/>
  <c r="D4" i="3"/>
  <c r="D8" i="3"/>
  <c r="D9" i="3"/>
  <c r="D10" i="3"/>
  <c r="D11" i="3"/>
  <c r="D12" i="3"/>
  <c r="D13" i="3"/>
  <c r="D20" i="3"/>
  <c r="D24" i="3"/>
  <c r="D25" i="3"/>
  <c r="D26" i="3"/>
  <c r="D28" i="3"/>
  <c r="D29" i="3"/>
  <c r="D36" i="3"/>
  <c r="D40" i="3"/>
  <c r="D41" i="3"/>
  <c r="D42" i="3"/>
  <c r="D44" i="3"/>
  <c r="D45" i="3"/>
  <c r="D52" i="3"/>
  <c r="D56" i="3"/>
  <c r="D57" i="3"/>
  <c r="D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63" i="3"/>
  <c r="A3" i="3"/>
</calcChain>
</file>

<file path=xl/sharedStrings.xml><?xml version="1.0" encoding="utf-8"?>
<sst xmlns="http://schemas.openxmlformats.org/spreadsheetml/2006/main" count="1315" uniqueCount="221">
  <si>
    <t>23:38:58,380</t>
  </si>
  <si>
    <t>pcrglobwb</t>
  </si>
  <si>
    <t>INFO</t>
  </si>
  <si>
    <t>The</t>
  </si>
  <si>
    <t>following</t>
  </si>
  <si>
    <t>summary</t>
  </si>
  <si>
    <t>values</t>
  </si>
  <si>
    <t>do</t>
  </si>
  <si>
    <t>not</t>
  </si>
  <si>
    <t>include</t>
  </si>
  <si>
    <t>storages</t>
  </si>
  <si>
    <t>in</t>
  </si>
  <si>
    <t>surface</t>
  </si>
  <si>
    <t>water</t>
  </si>
  <si>
    <t>bodies</t>
  </si>
  <si>
    <t>(lake,</t>
  </si>
  <si>
    <t>reservoir</t>
  </si>
  <si>
    <t>and</t>
  </si>
  <si>
    <t>channel</t>
  </si>
  <si>
    <t>storages).</t>
  </si>
  <si>
    <t>23:38:58,412</t>
  </si>
  <si>
    <t>Total</t>
  </si>
  <si>
    <t>area</t>
  </si>
  <si>
    <t>km2</t>
  </si>
  <si>
    <t>23:38:58,417</t>
  </si>
  <si>
    <t>Delta</t>
  </si>
  <si>
    <t>total</t>
  </si>
  <si>
    <t>storage</t>
  </si>
  <si>
    <t>days</t>
  </si>
  <si>
    <t>to</t>
  </si>
  <si>
    <t>km3</t>
  </si>
  <si>
    <t>mm</t>
  </si>
  <si>
    <t>23:38:58,421</t>
  </si>
  <si>
    <t>Accumulated</t>
  </si>
  <si>
    <t>precipitation</t>
  </si>
  <si>
    <t>23:38:58,423</t>
  </si>
  <si>
    <t>baseflow</t>
  </si>
  <si>
    <t>23:38:58,424</t>
  </si>
  <si>
    <t>surfaceWaterInf</t>
  </si>
  <si>
    <t>23:38:58,425</t>
  </si>
  <si>
    <t>runoff</t>
  </si>
  <si>
    <t>23:38:58,426</t>
  </si>
  <si>
    <t>unmetDemand</t>
  </si>
  <si>
    <t>23:38:58,427</t>
  </si>
  <si>
    <t>infiltration</t>
  </si>
  <si>
    <t>23:38:58,428</t>
  </si>
  <si>
    <t>gwRecharge</t>
  </si>
  <si>
    <t>23:38:58,429</t>
  </si>
  <si>
    <t>netLqWaterToSoil</t>
  </si>
  <si>
    <t>23:38:58,430</t>
  </si>
  <si>
    <t>totalPotET</t>
  </si>
  <si>
    <t>23:38:58,432</t>
  </si>
  <si>
    <t>actualET</t>
  </si>
  <si>
    <t>23:38:58,433</t>
  </si>
  <si>
    <t>interceptEvap</t>
  </si>
  <si>
    <t>23:38:58,434</t>
  </si>
  <si>
    <t>openWaterEvap</t>
  </si>
  <si>
    <t>23:38:58,435</t>
  </si>
  <si>
    <t>actSnowFreeWaterEvap</t>
  </si>
  <si>
    <t>23:38:58,436</t>
  </si>
  <si>
    <t>actBareSoilEvap</t>
  </si>
  <si>
    <t>23:38:58,437</t>
  </si>
  <si>
    <t>actTranspiUppTotal</t>
  </si>
  <si>
    <t>23:38:58,438</t>
  </si>
  <si>
    <t>actTranspiLowTotal</t>
  </si>
  <si>
    <t>23:38:58,439</t>
  </si>
  <si>
    <t>actTranspiTotal</t>
  </si>
  <si>
    <t>23:38:58,440</t>
  </si>
  <si>
    <t>directRunoff</t>
  </si>
  <si>
    <t>23:38:58,441</t>
  </si>
  <si>
    <t>interflow</t>
  </si>
  <si>
    <t>23:38:58,443</t>
  </si>
  <si>
    <t>interflowTotal</t>
  </si>
  <si>
    <t>23:38:58,444</t>
  </si>
  <si>
    <t>irrGrossDemand</t>
  </si>
  <si>
    <t>23:38:58,445</t>
  </si>
  <si>
    <t>nonIrrGrossDemand</t>
  </si>
  <si>
    <t>23:38:58,446</t>
  </si>
  <si>
    <t>totalPotentialGrossDemand</t>
  </si>
  <si>
    <t>23:38:58,447</t>
  </si>
  <si>
    <t>actSurfaceWaterAbstract</t>
  </si>
  <si>
    <t>23:38:58,448</t>
  </si>
  <si>
    <t>allocSurfaceWaterAbstract</t>
  </si>
  <si>
    <t>23:38:58,449</t>
  </si>
  <si>
    <t>desalinationAbstraction</t>
  </si>
  <si>
    <t>23:38:58,450</t>
  </si>
  <si>
    <t>desalinationAllocation</t>
  </si>
  <si>
    <t>23:38:58,451</t>
  </si>
  <si>
    <t>nonFossilGroundwaterAbs</t>
  </si>
  <si>
    <t>23:38:58,452</t>
  </si>
  <si>
    <t>allocNonFossilGroundwater</t>
  </si>
  <si>
    <t>23:38:58,453</t>
  </si>
  <si>
    <t>fossilGroundwaterAbstr</t>
  </si>
  <si>
    <t>23:38:58,454</t>
  </si>
  <si>
    <t>fossilGroundwaterAlloc</t>
  </si>
  <si>
    <t>23:38:58,455</t>
  </si>
  <si>
    <t>landSurfaceRunoff</t>
  </si>
  <si>
    <t>23:38:58,457</t>
  </si>
  <si>
    <t>satExcess</t>
  </si>
  <si>
    <t>23:38:58,458</t>
  </si>
  <si>
    <t>snowMelt</t>
  </si>
  <si>
    <t>23:38:58,459</t>
  </si>
  <si>
    <t>totalGroundwaterAbstraction</t>
  </si>
  <si>
    <t>23:38:58,460</t>
  </si>
  <si>
    <t>totalGroundwaterAllocation</t>
  </si>
  <si>
    <t>23:38:58,461</t>
  </si>
  <si>
    <t>totalPotentialMaximumGrossDemand</t>
  </si>
  <si>
    <t>23:38:58,462</t>
  </si>
  <si>
    <t>totalPotentialMaximumIrrGrossDemand</t>
  </si>
  <si>
    <t>23:38:58,463</t>
  </si>
  <si>
    <t>totalPotentialMaximumIrrGrossDemandPaddy</t>
  </si>
  <si>
    <t>23:38:58,464</t>
  </si>
  <si>
    <t>totalPotentialMaximumIrrGrossDemandNonPaddy</t>
  </si>
  <si>
    <t>23:38:58,465</t>
  </si>
  <si>
    <t>totalPotentialMaximumNonIrrGrossDemand</t>
  </si>
  <si>
    <t>23:38:58,466</t>
  </si>
  <si>
    <t>irrGrossDemandPaddy</t>
  </si>
  <si>
    <t>23:38:58,467</t>
  </si>
  <si>
    <t>irrGrossDemandNonPaddy</t>
  </si>
  <si>
    <t>23:38:58,468</t>
  </si>
  <si>
    <t>domesticWaterWithdrawal</t>
  </si>
  <si>
    <t>23:38:58,470</t>
  </si>
  <si>
    <t>industryWaterWithdrawal</t>
  </si>
  <si>
    <t>23:38:58,471</t>
  </si>
  <si>
    <t>livestockWaterWithdrawal</t>
  </si>
  <si>
    <t>23:38:58,472</t>
  </si>
  <si>
    <t>nonIrrReturnFlow</t>
  </si>
  <si>
    <t>23:38:58,473</t>
  </si>
  <si>
    <t>irrigationTranspirationDeficit</t>
  </si>
  <si>
    <t>23:38:58,474</t>
  </si>
  <si>
    <t>actTranspiUpp</t>
  </si>
  <si>
    <t>23:38:58,475</t>
  </si>
  <si>
    <t>actTranspiLow</t>
  </si>
  <si>
    <t>23:38:58,476</t>
  </si>
  <si>
    <t>netPercUpp</t>
  </si>
  <si>
    <t>23:38:58,477</t>
  </si>
  <si>
    <t>waterBalance</t>
  </si>
  <si>
    <t>23:38:58,478</t>
  </si>
  <si>
    <t>absWaterBalance</t>
  </si>
  <si>
    <t>23:38:58,479</t>
  </si>
  <si>
    <t>irrigationEvaporationWaterUse</t>
  </si>
  <si>
    <t>23:38:58,481</t>
  </si>
  <si>
    <t>nonIrrigationWaterUse</t>
  </si>
  <si>
    <t>is</t>
  </si>
  <si>
    <t>for</t>
  </si>
  <si>
    <t>bodies.</t>
  </si>
  <si>
    <t>23:38:58,483</t>
  </si>
  <si>
    <t>23:38:58,484</t>
  </si>
  <si>
    <t>waterBodyEvaporation</t>
  </si>
  <si>
    <t>23:38:58,485</t>
  </si>
  <si>
    <t>surfaceWaterInput</t>
  </si>
  <si>
    <t>dischargeAtPitTotal</t>
  </si>
  <si>
    <t>surfaceWaterBalance</t>
  </si>
  <si>
    <t>23:38:58,492</t>
  </si>
  <si>
    <t>reporting</t>
  </si>
  <si>
    <t>time</t>
  </si>
  <si>
    <t>23:12:53,263</t>
  </si>
  <si>
    <t>23:12:53,265</t>
  </si>
  <si>
    <t>23:12:53,268</t>
  </si>
  <si>
    <t>23:12:53,273</t>
  </si>
  <si>
    <t>23:12:53,275</t>
  </si>
  <si>
    <t>23:12:53,277</t>
  </si>
  <si>
    <t>23:12:53,279</t>
  </si>
  <si>
    <t>23:12:53,281</t>
  </si>
  <si>
    <t>23:12:53,283</t>
  </si>
  <si>
    <t>23:12:53,285</t>
  </si>
  <si>
    <t>23:12:53,287</t>
  </si>
  <si>
    <t>23:12:53,289</t>
  </si>
  <si>
    <t>23:12:53,291</t>
  </si>
  <si>
    <t>23:12:53,293</t>
  </si>
  <si>
    <t>23:12:53,295</t>
  </si>
  <si>
    <t>23:12:53,297</t>
  </si>
  <si>
    <t>23:12:53,299</t>
  </si>
  <si>
    <t>23:12:53,301</t>
  </si>
  <si>
    <t>23:12:53,303</t>
  </si>
  <si>
    <t>23:12:53,305</t>
  </si>
  <si>
    <t>23:12:53,307</t>
  </si>
  <si>
    <t>23:12:53,308</t>
  </si>
  <si>
    <t>23:12:53,310</t>
  </si>
  <si>
    <t>23:12:53,312</t>
  </si>
  <si>
    <t>23:12:53,314</t>
  </si>
  <si>
    <t>23:12:53,316</t>
  </si>
  <si>
    <t>23:12:53,318</t>
  </si>
  <si>
    <t>23:12:53,320</t>
  </si>
  <si>
    <t>23:12:53,322</t>
  </si>
  <si>
    <t>23:12:53,324</t>
  </si>
  <si>
    <t>23:12:53,325</t>
  </si>
  <si>
    <t>23:12:53,327</t>
  </si>
  <si>
    <t>23:12:53,329</t>
  </si>
  <si>
    <t>23:12:53,331</t>
  </si>
  <si>
    <t>23:12:53,333</t>
  </si>
  <si>
    <t>23:12:53,335</t>
  </si>
  <si>
    <t>23:12:53,337</t>
  </si>
  <si>
    <t>23:12:53,339</t>
  </si>
  <si>
    <t>23:12:53,341</t>
  </si>
  <si>
    <t>23:12:53,343</t>
  </si>
  <si>
    <t>23:12:53,344</t>
  </si>
  <si>
    <t>23:12:53,346</t>
  </si>
  <si>
    <t>23:12:53,348</t>
  </si>
  <si>
    <t>23:12:53,350</t>
  </si>
  <si>
    <t>23:12:53,352</t>
  </si>
  <si>
    <t>23:12:53,354</t>
  </si>
  <si>
    <t>23:12:53,356</t>
  </si>
  <si>
    <t>23:12:53,358</t>
  </si>
  <si>
    <t>23:12:53,360</t>
  </si>
  <si>
    <t>23:12:53,361</t>
  </si>
  <si>
    <t>23:12:53,363</t>
  </si>
  <si>
    <t>23:12:53,365</t>
  </si>
  <si>
    <t>23:12:53,367</t>
  </si>
  <si>
    <t>23:12:53,369</t>
  </si>
  <si>
    <t>23:12:53,371</t>
  </si>
  <si>
    <t>23:12:53,373</t>
  </si>
  <si>
    <t>23:12:53,375</t>
  </si>
  <si>
    <t>23:12:53,377</t>
  </si>
  <si>
    <t xml:space="preserve">lue </t>
  </si>
  <si>
    <t>pcraster</t>
  </si>
  <si>
    <t>difference</t>
  </si>
  <si>
    <t>23:12:53,380</t>
  </si>
  <si>
    <t>23:12:53,382</t>
  </si>
  <si>
    <t>23:12:53,383</t>
  </si>
  <si>
    <t>23:12:53,385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</si>
</sst>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Sheet3!$E$2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Sheet3!$A$3:$A$64</c:f>
              <c:strCache>
                <c:ptCount val="62"/>
                <c:pt idx="0">
                  <c:v>precipitation</c:v>
                </c:pt>
                <c:pt idx="1">
                  <c:v>baseflow</c:v>
                </c:pt>
                <c:pt idx="2">
                  <c:v>surfaceWaterInf</c:v>
                </c:pt>
                <c:pt idx="3">
                  <c:v>runoff</c:v>
                </c:pt>
                <c:pt idx="4">
                  <c:v>unmetDemand</c:v>
                </c:pt>
                <c:pt idx="5">
                  <c:v>infiltration</c:v>
                </c:pt>
                <c:pt idx="6">
                  <c:v>gwRecharge</c:v>
                </c:pt>
                <c:pt idx="7">
                  <c:v>netLqWaterToSoil</c:v>
                </c:pt>
                <c:pt idx="8">
                  <c:v>totalPotET</c:v>
                </c:pt>
                <c:pt idx="9">
                  <c:v>actualET</c:v>
                </c:pt>
                <c:pt idx="10">
                  <c:v>interceptEvap</c:v>
                </c:pt>
                <c:pt idx="11">
                  <c:v>openWaterEvap</c:v>
                </c:pt>
                <c:pt idx="12">
                  <c:v>actSnowFreeWaterEvap</c:v>
                </c:pt>
                <c:pt idx="13">
                  <c:v>actBareSoilEvap</c:v>
                </c:pt>
                <c:pt idx="14">
                  <c:v>actTranspiUppTotal</c:v>
                </c:pt>
                <c:pt idx="15">
                  <c:v>actTranspiLowTotal</c:v>
                </c:pt>
                <c:pt idx="16">
                  <c:v>actTranspiTotal</c:v>
                </c:pt>
                <c:pt idx="17">
                  <c:v>directRunoff</c:v>
                </c:pt>
                <c:pt idx="18">
                  <c:v>interflow</c:v>
                </c:pt>
                <c:pt idx="19">
                  <c:v>interflowTotal</c:v>
                </c:pt>
                <c:pt idx="20">
                  <c:v>irrGrossDemand</c:v>
                </c:pt>
                <c:pt idx="21">
                  <c:v>nonIrrGrossDemand</c:v>
                </c:pt>
                <c:pt idx="22">
                  <c:v>totalPotentialGrossDemand</c:v>
                </c:pt>
                <c:pt idx="23">
                  <c:v>actSurfaceWaterAbstract</c:v>
                </c:pt>
                <c:pt idx="24">
                  <c:v>allocSurfaceWaterAbstract</c:v>
                </c:pt>
                <c:pt idx="25">
                  <c:v>desalinationAbstraction</c:v>
                </c:pt>
                <c:pt idx="26">
                  <c:v>desalinationAllocation</c:v>
                </c:pt>
                <c:pt idx="27">
                  <c:v>nonFossilGroundwaterAbs</c:v>
                </c:pt>
                <c:pt idx="28">
                  <c:v>allocNonFossilGroundwater</c:v>
                </c:pt>
                <c:pt idx="29">
                  <c:v>fossilGroundwaterAbstr</c:v>
                </c:pt>
                <c:pt idx="30">
                  <c:v>fossilGroundwaterAlloc</c:v>
                </c:pt>
                <c:pt idx="31">
                  <c:v>landSurfaceRunoff</c:v>
                </c:pt>
                <c:pt idx="32">
                  <c:v>satExcess</c:v>
                </c:pt>
                <c:pt idx="33">
                  <c:v>snowMelt</c:v>
                </c:pt>
                <c:pt idx="34">
                  <c:v>totalGroundwaterAbstraction</c:v>
                </c:pt>
                <c:pt idx="35">
                  <c:v>totalGroundwaterAllocation</c:v>
                </c:pt>
                <c:pt idx="36">
                  <c:v>totalPotentialMaximumGrossDemand</c:v>
                </c:pt>
                <c:pt idx="37">
                  <c:v>totalPotentialMaximumIrrGrossDemand</c:v>
                </c:pt>
                <c:pt idx="38">
                  <c:v>totalPotentialMaximumIrrGrossDemandPaddy</c:v>
                </c:pt>
                <c:pt idx="39">
                  <c:v>totalPotentialMaximumIrrGrossDemandNonPaddy</c:v>
                </c:pt>
                <c:pt idx="40">
                  <c:v>totalPotentialMaximumNonIrrGrossDemand</c:v>
                </c:pt>
                <c:pt idx="41">
                  <c:v>irrGrossDemandPaddy</c:v>
                </c:pt>
                <c:pt idx="42">
                  <c:v>irrGrossDemandNonPaddy</c:v>
                </c:pt>
                <c:pt idx="43">
                  <c:v>domesticWaterWithdrawal</c:v>
                </c:pt>
                <c:pt idx="44">
                  <c:v>industryWaterWithdrawal</c:v>
                </c:pt>
                <c:pt idx="45">
                  <c:v>livestockWaterWithdrawal</c:v>
                </c:pt>
                <c:pt idx="46">
                  <c:v>nonIrrReturnFlow</c:v>
                </c:pt>
                <c:pt idx="47">
                  <c:v>irrigationTranspirationDeficit</c:v>
                </c:pt>
                <c:pt idx="48">
                  <c:v>actTranspiUpp</c:v>
                </c:pt>
                <c:pt idx="49">
                  <c:v>actTranspiLow</c:v>
                </c:pt>
                <c:pt idx="50">
                  <c:v>netPercUpp</c:v>
                </c:pt>
                <c:pt idx="51">
                  <c:v>waterBalance</c:v>
                </c:pt>
                <c:pt idx="52">
                  <c:v>absWaterBalance</c:v>
                </c:pt>
                <c:pt idx="53">
                  <c:v>irrigationEvaporationWaterUse</c:v>
                </c:pt>
                <c:pt idx="54">
                  <c:v>nonIrrigationWaterUse</c:v>
                </c:pt>
                <c:pt idx="58">
                  <c:v>waterBodyEvaporation</c:v>
                </c:pt>
                <c:pt idx="59">
                  <c:v>surfaceWaterInput</c:v>
                </c:pt>
                <c:pt idx="60">
                  <c:v>dischargeAtPitTotal</c:v>
                </c:pt>
                <c:pt idx="61">
                  <c:v>surfaceWaterBalance</c:v>
                </c:pt>
              </c:strCache>
            </c:strRef>
          </c:cat>
          <c:val>
            <c:numRef>
              <c:f>Sheet3!$E$3:$E$64</c:f>
              <c:numCache>
                <c:formatCode>0.00%</c:formatCode>
                <c:ptCount val="62"/>
                <c:pt idx="0">
                  <c:v>4.476035306966501E-6</c:v>
                </c:pt>
                <c:pt idx="1">
                  <c:v>-8.3740959902246629E-6</c:v>
                </c:pt>
                <c:pt idx="2">
                  <c:v>-7.1543872045842135E-7</c:v>
                </c:pt>
                <c:pt idx="3">
                  <c:v>-1.6341735096336822E-6</c:v>
                </c:pt>
                <c:pt idx="4">
                  <c:v>0</c:v>
                </c:pt>
                <c:pt idx="5">
                  <c:v>1.6933038411827662E-6</c:v>
                </c:pt>
                <c:pt idx="6">
                  <c:v>-1.7412684095349212E-6</c:v>
                </c:pt>
                <c:pt idx="7">
                  <c:v>4.3029987599114527E-6</c:v>
                </c:pt>
                <c:pt idx="8">
                  <c:v>-4.1374904630844827E-6</c:v>
                </c:pt>
                <c:pt idx="9">
                  <c:v>1.3029693694987612E-6</c:v>
                </c:pt>
                <c:pt idx="10">
                  <c:v>0</c:v>
                </c:pt>
                <c:pt idx="11">
                  <c:v>0</c:v>
                </c:pt>
                <c:pt idx="12">
                  <c:v>-2.5207717891076429E-7</c:v>
                </c:pt>
                <c:pt idx="13">
                  <c:v>1.4077319678640523E-6</c:v>
                </c:pt>
                <c:pt idx="14">
                  <c:v>-4.3009920239041733E-6</c:v>
                </c:pt>
                <c:pt idx="15">
                  <c:v>-4.5125768335647862E-6</c:v>
                </c:pt>
                <c:pt idx="16">
                  <c:v>-4.1289794069678798E-6</c:v>
                </c:pt>
                <c:pt idx="17">
                  <c:v>-1.233850875015471E-5</c:v>
                </c:pt>
                <c:pt idx="18">
                  <c:v>-5.4760718014586095E-6</c:v>
                </c:pt>
                <c:pt idx="19">
                  <c:v>-5.4760718014586095E-6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-6.898383363829998E-6</c:v>
                </c:pt>
                <c:pt idx="32">
                  <c:v>-2.0109795460721338E-6</c:v>
                </c:pt>
                <c:pt idx="33">
                  <c:v>-7.8218899346029601E-7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-4.3009920239041733E-6</c:v>
                </c:pt>
                <c:pt idx="49">
                  <c:v>-4.5125768335647862E-6</c:v>
                </c:pt>
                <c:pt idx="50">
                  <c:v>-2.3311820706524023E-6</c:v>
                </c:pt>
                <c:pt idx="51">
                  <c:v>8.5435283370386148E-6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8">
                  <c:v>2.0191824718976967</c:v>
                </c:pt>
                <c:pt idx="59">
                  <c:v>-1.3750710071787839E-3</c:v>
                </c:pt>
                <c:pt idx="60">
                  <c:v>-1</c:v>
                </c:pt>
                <c:pt idx="61">
                  <c:v>193.82352312873391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1-4829-B596-4A51EF061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819343"/>
        <c:axId val="712818383"/>
      </c:barChart>
      <c:catAx>
        <c:axId val="71281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12818383"/>
        <c:crosses val="autoZero"/>
        <c:auto val="1"/>
        <c:lblAlgn val="ctr"/>
        <c:lblOffset val="100"/>
        <c:noMultiLvlLbl val="0"/>
      </c:catAx>
      <c:valAx>
        <c:axId val="712818383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1281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1</xdr:row>
      <xdr:rowOff>4761</xdr:rowOff>
    </xdr:from>
    <xdr:to>
      <xdr:col>15</xdr:col>
      <xdr:colOff>380999</xdr:colOff>
      <xdr:row>44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1714A-E0FC-1861-C7C3-92F1D23EA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BA3C-B6FC-47A8-93A0-57BB77336E86}">
  <dimension ref="A1:U66"/>
  <sheetViews>
    <sheetView workbookViewId="0">
      <selection sqref="A1:U66"/>
    </sheetView>
  </sheetViews>
  <sheetFormatPr defaultRowHeight="15" x14ac:dyDescent="0.25"/>
  <cols>
    <col min="13" max="13" width="9" bestFit="1" customWidth="1"/>
  </cols>
  <sheetData>
    <row r="1" spans="1:21" x14ac:dyDescent="0.25">
      <c r="A1" s="1">
        <v>45679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s="1">
        <v>45679</v>
      </c>
      <c r="B2" t="s">
        <v>20</v>
      </c>
      <c r="C2" t="s">
        <v>1</v>
      </c>
      <c r="D2" t="s">
        <v>2</v>
      </c>
      <c r="E2" t="s">
        <v>21</v>
      </c>
      <c r="F2" t="s">
        <v>22</v>
      </c>
      <c r="G2" s="2">
        <v>135104900</v>
      </c>
      <c r="H2" t="s">
        <v>23</v>
      </c>
    </row>
    <row r="3" spans="1:21" x14ac:dyDescent="0.25">
      <c r="A3" s="1">
        <v>45679</v>
      </c>
      <c r="B3" t="s">
        <v>24</v>
      </c>
      <c r="C3" t="s">
        <v>1</v>
      </c>
      <c r="D3" t="s">
        <v>2</v>
      </c>
      <c r="E3" t="s">
        <v>25</v>
      </c>
      <c r="F3" t="s">
        <v>26</v>
      </c>
      <c r="G3" t="s">
        <v>27</v>
      </c>
      <c r="H3" t="s">
        <v>28</v>
      </c>
      <c r="I3">
        <v>1</v>
      </c>
      <c r="J3" t="s">
        <v>29</v>
      </c>
      <c r="K3">
        <v>366</v>
      </c>
      <c r="L3" t="s">
        <v>11</v>
      </c>
      <c r="M3">
        <v>2000</v>
      </c>
      <c r="N3" s="2">
        <v>1345.4079999999999</v>
      </c>
      <c r="O3" t="s">
        <v>30</v>
      </c>
      <c r="P3" s="2">
        <v>9.9582440000000005</v>
      </c>
      <c r="Q3" t="s">
        <v>31</v>
      </c>
    </row>
    <row r="4" spans="1:21" x14ac:dyDescent="0.25">
      <c r="A4" s="1">
        <v>45679</v>
      </c>
      <c r="B4" t="s">
        <v>32</v>
      </c>
      <c r="C4" t="s">
        <v>1</v>
      </c>
      <c r="D4" t="s">
        <v>2</v>
      </c>
      <c r="E4" t="s">
        <v>33</v>
      </c>
      <c r="F4" t="s">
        <v>34</v>
      </c>
      <c r="G4" t="s">
        <v>28</v>
      </c>
      <c r="H4">
        <v>1</v>
      </c>
      <c r="I4" t="s">
        <v>29</v>
      </c>
      <c r="J4">
        <v>366</v>
      </c>
      <c r="K4" t="s">
        <v>11</v>
      </c>
      <c r="L4">
        <v>2000</v>
      </c>
      <c r="M4" s="2">
        <v>111706.5</v>
      </c>
      <c r="N4" t="s">
        <v>30</v>
      </c>
      <c r="O4" s="2">
        <v>826.81280000000004</v>
      </c>
      <c r="P4" t="s">
        <v>31</v>
      </c>
    </row>
    <row r="5" spans="1:21" x14ac:dyDescent="0.25">
      <c r="A5" s="1">
        <v>45679</v>
      </c>
      <c r="B5" t="s">
        <v>35</v>
      </c>
      <c r="C5" t="s">
        <v>1</v>
      </c>
      <c r="D5" t="s">
        <v>2</v>
      </c>
      <c r="E5" t="s">
        <v>33</v>
      </c>
      <c r="F5" t="s">
        <v>36</v>
      </c>
      <c r="G5" t="s">
        <v>28</v>
      </c>
      <c r="H5">
        <v>1</v>
      </c>
      <c r="I5" t="s">
        <v>29</v>
      </c>
      <c r="J5">
        <v>366</v>
      </c>
      <c r="K5" t="s">
        <v>11</v>
      </c>
      <c r="L5">
        <v>2000</v>
      </c>
      <c r="M5" s="2">
        <v>28659.57</v>
      </c>
      <c r="N5" t="s">
        <v>30</v>
      </c>
      <c r="O5" s="2">
        <v>212.1283</v>
      </c>
      <c r="P5" t="s">
        <v>31</v>
      </c>
    </row>
    <row r="6" spans="1:21" x14ac:dyDescent="0.25">
      <c r="A6" s="1">
        <v>45679</v>
      </c>
      <c r="B6" t="s">
        <v>37</v>
      </c>
      <c r="C6" t="s">
        <v>1</v>
      </c>
      <c r="D6" t="s">
        <v>2</v>
      </c>
      <c r="E6" t="s">
        <v>33</v>
      </c>
      <c r="F6" t="s">
        <v>38</v>
      </c>
      <c r="G6" t="s">
        <v>28</v>
      </c>
      <c r="H6">
        <v>1</v>
      </c>
      <c r="I6" t="s">
        <v>29</v>
      </c>
      <c r="J6">
        <v>366</v>
      </c>
      <c r="K6" t="s">
        <v>11</v>
      </c>
      <c r="L6">
        <v>2000</v>
      </c>
      <c r="M6" s="2">
        <v>0.55909710000000001</v>
      </c>
      <c r="N6" t="s">
        <v>30</v>
      </c>
      <c r="O6" s="2">
        <v>4.1382440000000001E-3</v>
      </c>
      <c r="P6" t="s">
        <v>31</v>
      </c>
    </row>
    <row r="7" spans="1:21" x14ac:dyDescent="0.25">
      <c r="A7" s="1">
        <v>45679</v>
      </c>
      <c r="B7" t="s">
        <v>39</v>
      </c>
      <c r="C7" t="s">
        <v>1</v>
      </c>
      <c r="D7" t="s">
        <v>2</v>
      </c>
      <c r="E7" t="s">
        <v>33</v>
      </c>
      <c r="F7" t="s">
        <v>40</v>
      </c>
      <c r="G7" t="s">
        <v>28</v>
      </c>
      <c r="H7">
        <v>1</v>
      </c>
      <c r="I7" t="s">
        <v>29</v>
      </c>
      <c r="J7">
        <v>366</v>
      </c>
      <c r="K7" t="s">
        <v>11</v>
      </c>
      <c r="L7">
        <v>2000</v>
      </c>
      <c r="M7" s="2">
        <v>48954.33</v>
      </c>
      <c r="N7" t="s">
        <v>30</v>
      </c>
      <c r="O7" s="2">
        <v>362.34300000000002</v>
      </c>
      <c r="P7" t="s">
        <v>31</v>
      </c>
    </row>
    <row r="8" spans="1:21" x14ac:dyDescent="0.25">
      <c r="A8" s="1">
        <v>45679</v>
      </c>
      <c r="B8" t="s">
        <v>41</v>
      </c>
      <c r="C8" t="s">
        <v>1</v>
      </c>
      <c r="D8" t="s">
        <v>2</v>
      </c>
      <c r="E8" t="s">
        <v>33</v>
      </c>
      <c r="F8" t="s">
        <v>42</v>
      </c>
      <c r="G8" t="s">
        <v>28</v>
      </c>
      <c r="H8">
        <v>1</v>
      </c>
      <c r="I8" t="s">
        <v>29</v>
      </c>
      <c r="J8">
        <v>366</v>
      </c>
      <c r="K8" t="s">
        <v>11</v>
      </c>
      <c r="L8">
        <v>2000</v>
      </c>
      <c r="M8" s="2">
        <v>0</v>
      </c>
      <c r="N8" t="s">
        <v>30</v>
      </c>
      <c r="O8" s="2">
        <v>0</v>
      </c>
      <c r="P8" t="s">
        <v>31</v>
      </c>
    </row>
    <row r="9" spans="1:21" x14ac:dyDescent="0.25">
      <c r="A9" s="1">
        <v>45679</v>
      </c>
      <c r="B9" t="s">
        <v>43</v>
      </c>
      <c r="C9" t="s">
        <v>1</v>
      </c>
      <c r="D9" t="s">
        <v>2</v>
      </c>
      <c r="E9" t="s">
        <v>33</v>
      </c>
      <c r="F9" t="s">
        <v>44</v>
      </c>
      <c r="G9" t="s">
        <v>28</v>
      </c>
      <c r="H9">
        <v>1</v>
      </c>
      <c r="I9" t="s">
        <v>29</v>
      </c>
      <c r="J9">
        <v>366</v>
      </c>
      <c r="K9" t="s">
        <v>11</v>
      </c>
      <c r="L9">
        <v>2000</v>
      </c>
      <c r="M9" s="2">
        <v>88584.37</v>
      </c>
      <c r="N9" t="s">
        <v>30</v>
      </c>
      <c r="O9" s="2">
        <v>655.67089999999996</v>
      </c>
      <c r="P9" t="s">
        <v>31</v>
      </c>
    </row>
    <row r="10" spans="1:21" x14ac:dyDescent="0.25">
      <c r="A10" s="1">
        <v>45679</v>
      </c>
      <c r="B10" t="s">
        <v>45</v>
      </c>
      <c r="C10" t="s">
        <v>1</v>
      </c>
      <c r="D10" t="s">
        <v>2</v>
      </c>
      <c r="E10" t="s">
        <v>33</v>
      </c>
      <c r="F10" t="s">
        <v>46</v>
      </c>
      <c r="G10" t="s">
        <v>28</v>
      </c>
      <c r="H10">
        <v>1</v>
      </c>
      <c r="I10" t="s">
        <v>29</v>
      </c>
      <c r="J10">
        <v>366</v>
      </c>
      <c r="K10" t="s">
        <v>11</v>
      </c>
      <c r="L10">
        <v>2000</v>
      </c>
      <c r="M10" s="2">
        <v>28714.65</v>
      </c>
      <c r="N10" t="s">
        <v>30</v>
      </c>
      <c r="O10" s="2">
        <v>212.536</v>
      </c>
      <c r="P10" t="s">
        <v>31</v>
      </c>
    </row>
    <row r="11" spans="1:21" x14ac:dyDescent="0.25">
      <c r="A11" s="1">
        <v>45679</v>
      </c>
      <c r="B11" t="s">
        <v>47</v>
      </c>
      <c r="C11" t="s">
        <v>1</v>
      </c>
      <c r="D11" t="s">
        <v>2</v>
      </c>
      <c r="E11" t="s">
        <v>33</v>
      </c>
      <c r="F11" t="s">
        <v>48</v>
      </c>
      <c r="G11" t="s">
        <v>28</v>
      </c>
      <c r="H11">
        <v>1</v>
      </c>
      <c r="I11" t="s">
        <v>29</v>
      </c>
      <c r="J11">
        <v>366</v>
      </c>
      <c r="K11" t="s">
        <v>11</v>
      </c>
      <c r="L11">
        <v>2000</v>
      </c>
      <c r="M11" s="2">
        <v>99930.74</v>
      </c>
      <c r="N11" t="s">
        <v>30</v>
      </c>
      <c r="O11" s="2">
        <v>739.65279999999996</v>
      </c>
      <c r="P11" t="s">
        <v>31</v>
      </c>
    </row>
    <row r="12" spans="1:21" x14ac:dyDescent="0.25">
      <c r="A12" s="1">
        <v>45679</v>
      </c>
      <c r="B12" t="s">
        <v>49</v>
      </c>
      <c r="C12" t="s">
        <v>1</v>
      </c>
      <c r="D12" t="s">
        <v>2</v>
      </c>
      <c r="E12" t="s">
        <v>33</v>
      </c>
      <c r="F12" t="s">
        <v>50</v>
      </c>
      <c r="G12" t="s">
        <v>28</v>
      </c>
      <c r="H12">
        <v>1</v>
      </c>
      <c r="I12" t="s">
        <v>29</v>
      </c>
      <c r="J12">
        <v>366</v>
      </c>
      <c r="K12" t="s">
        <v>11</v>
      </c>
      <c r="L12">
        <v>2000</v>
      </c>
      <c r="M12" s="2">
        <v>120845.7</v>
      </c>
      <c r="N12" t="s">
        <v>30</v>
      </c>
      <c r="O12" s="2">
        <v>894.45839999999998</v>
      </c>
      <c r="P12" t="s">
        <v>31</v>
      </c>
    </row>
    <row r="13" spans="1:21" x14ac:dyDescent="0.25">
      <c r="A13" s="1">
        <v>45679</v>
      </c>
      <c r="B13" t="s">
        <v>51</v>
      </c>
      <c r="C13" t="s">
        <v>1</v>
      </c>
      <c r="D13" t="s">
        <v>2</v>
      </c>
      <c r="E13" t="s">
        <v>33</v>
      </c>
      <c r="F13" t="s">
        <v>52</v>
      </c>
      <c r="G13" t="s">
        <v>28</v>
      </c>
      <c r="H13">
        <v>1</v>
      </c>
      <c r="I13" t="s">
        <v>29</v>
      </c>
      <c r="J13">
        <v>366</v>
      </c>
      <c r="K13" t="s">
        <v>11</v>
      </c>
      <c r="L13">
        <v>2000</v>
      </c>
      <c r="M13" s="2">
        <v>61398.3</v>
      </c>
      <c r="N13" t="s">
        <v>30</v>
      </c>
      <c r="O13" s="2">
        <v>454.44900000000001</v>
      </c>
      <c r="P13" t="s">
        <v>31</v>
      </c>
    </row>
    <row r="14" spans="1:21" x14ac:dyDescent="0.25">
      <c r="A14" s="1">
        <v>45679</v>
      </c>
      <c r="B14" t="s">
        <v>53</v>
      </c>
      <c r="C14" t="s">
        <v>1</v>
      </c>
      <c r="D14" t="s">
        <v>2</v>
      </c>
      <c r="E14" t="s">
        <v>33</v>
      </c>
      <c r="F14" t="s">
        <v>54</v>
      </c>
      <c r="G14" t="s">
        <v>28</v>
      </c>
      <c r="H14">
        <v>1</v>
      </c>
      <c r="I14" t="s">
        <v>29</v>
      </c>
      <c r="J14">
        <v>366</v>
      </c>
      <c r="K14" t="s">
        <v>11</v>
      </c>
      <c r="L14">
        <v>2000</v>
      </c>
      <c r="M14" s="2">
        <v>10465.68</v>
      </c>
      <c r="N14" t="s">
        <v>30</v>
      </c>
      <c r="O14" s="2">
        <v>77.463359999999994</v>
      </c>
      <c r="P14" t="s">
        <v>31</v>
      </c>
    </row>
    <row r="15" spans="1:21" x14ac:dyDescent="0.25">
      <c r="A15" s="1">
        <v>45679</v>
      </c>
      <c r="B15" t="s">
        <v>55</v>
      </c>
      <c r="C15" t="s">
        <v>1</v>
      </c>
      <c r="D15" t="s">
        <v>2</v>
      </c>
      <c r="E15" t="s">
        <v>33</v>
      </c>
      <c r="F15" t="s">
        <v>56</v>
      </c>
      <c r="G15" t="s">
        <v>28</v>
      </c>
      <c r="H15">
        <v>1</v>
      </c>
      <c r="I15" t="s">
        <v>29</v>
      </c>
      <c r="J15">
        <v>366</v>
      </c>
      <c r="K15" t="s">
        <v>11</v>
      </c>
      <c r="L15">
        <v>2000</v>
      </c>
      <c r="M15" s="2">
        <v>0</v>
      </c>
      <c r="N15" t="s">
        <v>30</v>
      </c>
      <c r="O15" s="2">
        <v>0</v>
      </c>
      <c r="P15" t="s">
        <v>31</v>
      </c>
    </row>
    <row r="16" spans="1:21" x14ac:dyDescent="0.25">
      <c r="A16" s="1">
        <v>45679</v>
      </c>
      <c r="B16" t="s">
        <v>57</v>
      </c>
      <c r="C16" t="s">
        <v>1</v>
      </c>
      <c r="D16" t="s">
        <v>2</v>
      </c>
      <c r="E16" t="s">
        <v>33</v>
      </c>
      <c r="F16" t="s">
        <v>58</v>
      </c>
      <c r="G16" t="s">
        <v>28</v>
      </c>
      <c r="H16">
        <v>1</v>
      </c>
      <c r="I16" t="s">
        <v>29</v>
      </c>
      <c r="J16">
        <v>366</v>
      </c>
      <c r="K16" t="s">
        <v>11</v>
      </c>
      <c r="L16">
        <v>2000</v>
      </c>
      <c r="M16" s="2">
        <v>396.7038</v>
      </c>
      <c r="N16" t="s">
        <v>30</v>
      </c>
      <c r="O16" s="2">
        <v>2.9362650000000001</v>
      </c>
      <c r="P16" t="s">
        <v>31</v>
      </c>
    </row>
    <row r="17" spans="1:16" x14ac:dyDescent="0.25">
      <c r="A17" s="1">
        <v>45679</v>
      </c>
      <c r="B17" t="s">
        <v>59</v>
      </c>
      <c r="C17" t="s">
        <v>1</v>
      </c>
      <c r="D17" t="s">
        <v>2</v>
      </c>
      <c r="E17" t="s">
        <v>33</v>
      </c>
      <c r="F17" t="s">
        <v>60</v>
      </c>
      <c r="G17" t="s">
        <v>28</v>
      </c>
      <c r="H17">
        <v>1</v>
      </c>
      <c r="I17" t="s">
        <v>29</v>
      </c>
      <c r="J17">
        <v>366</v>
      </c>
      <c r="K17" t="s">
        <v>11</v>
      </c>
      <c r="L17">
        <v>2000</v>
      </c>
      <c r="M17" s="2">
        <v>14207.27</v>
      </c>
      <c r="N17" t="s">
        <v>30</v>
      </c>
      <c r="O17" s="2">
        <v>105.15730000000001</v>
      </c>
      <c r="P17" t="s">
        <v>31</v>
      </c>
    </row>
    <row r="18" spans="1:16" x14ac:dyDescent="0.25">
      <c r="A18" s="1">
        <v>45679</v>
      </c>
      <c r="B18" t="s">
        <v>61</v>
      </c>
      <c r="C18" t="s">
        <v>1</v>
      </c>
      <c r="D18" t="s">
        <v>2</v>
      </c>
      <c r="E18" t="s">
        <v>33</v>
      </c>
      <c r="F18" t="s">
        <v>62</v>
      </c>
      <c r="G18" t="s">
        <v>28</v>
      </c>
      <c r="H18">
        <v>1</v>
      </c>
      <c r="I18" t="s">
        <v>29</v>
      </c>
      <c r="J18">
        <v>366</v>
      </c>
      <c r="K18" t="s">
        <v>11</v>
      </c>
      <c r="L18">
        <v>2000</v>
      </c>
      <c r="M18" s="2">
        <v>18600.28</v>
      </c>
      <c r="N18" t="s">
        <v>30</v>
      </c>
      <c r="O18" s="2">
        <v>137.6728</v>
      </c>
      <c r="P18" t="s">
        <v>31</v>
      </c>
    </row>
    <row r="19" spans="1:16" x14ac:dyDescent="0.25">
      <c r="A19" s="1">
        <v>45679</v>
      </c>
      <c r="B19" t="s">
        <v>63</v>
      </c>
      <c r="C19" t="s">
        <v>1</v>
      </c>
      <c r="D19" t="s">
        <v>2</v>
      </c>
      <c r="E19" t="s">
        <v>33</v>
      </c>
      <c r="F19" t="s">
        <v>64</v>
      </c>
      <c r="G19" t="s">
        <v>28</v>
      </c>
      <c r="H19">
        <v>1</v>
      </c>
      <c r="I19" t="s">
        <v>29</v>
      </c>
      <c r="J19">
        <v>366</v>
      </c>
      <c r="K19" t="s">
        <v>11</v>
      </c>
      <c r="L19">
        <v>2000</v>
      </c>
      <c r="M19" s="2">
        <v>17728.150000000001</v>
      </c>
      <c r="N19" t="s">
        <v>30</v>
      </c>
      <c r="O19" s="2">
        <v>131.21770000000001</v>
      </c>
      <c r="P19" t="s">
        <v>31</v>
      </c>
    </row>
    <row r="20" spans="1:16" x14ac:dyDescent="0.25">
      <c r="A20" s="1">
        <v>45679</v>
      </c>
      <c r="B20" t="s">
        <v>65</v>
      </c>
      <c r="C20" t="s">
        <v>1</v>
      </c>
      <c r="D20" t="s">
        <v>2</v>
      </c>
      <c r="E20" t="s">
        <v>33</v>
      </c>
      <c r="F20" t="s">
        <v>66</v>
      </c>
      <c r="G20" t="s">
        <v>28</v>
      </c>
      <c r="H20">
        <v>1</v>
      </c>
      <c r="I20" t="s">
        <v>29</v>
      </c>
      <c r="J20">
        <v>366</v>
      </c>
      <c r="K20" t="s">
        <v>11</v>
      </c>
      <c r="L20">
        <v>2000</v>
      </c>
      <c r="M20" s="2">
        <v>36328.44</v>
      </c>
      <c r="N20" t="s">
        <v>30</v>
      </c>
      <c r="O20" s="2">
        <v>268.89060000000001</v>
      </c>
      <c r="P20" t="s">
        <v>31</v>
      </c>
    </row>
    <row r="21" spans="1:16" x14ac:dyDescent="0.25">
      <c r="A21" s="1">
        <v>45679</v>
      </c>
      <c r="B21" t="s">
        <v>67</v>
      </c>
      <c r="C21" t="s">
        <v>1</v>
      </c>
      <c r="D21" t="s">
        <v>2</v>
      </c>
      <c r="E21" t="s">
        <v>33</v>
      </c>
      <c r="F21" t="s">
        <v>68</v>
      </c>
      <c r="G21" t="s">
        <v>28</v>
      </c>
      <c r="H21">
        <v>1</v>
      </c>
      <c r="I21" t="s">
        <v>29</v>
      </c>
      <c r="J21">
        <v>366</v>
      </c>
      <c r="K21" t="s">
        <v>11</v>
      </c>
      <c r="L21">
        <v>2000</v>
      </c>
      <c r="M21" s="2">
        <v>11346.45</v>
      </c>
      <c r="N21" t="s">
        <v>30</v>
      </c>
      <c r="O21" s="2">
        <v>83.982519999999994</v>
      </c>
      <c r="P21" t="s">
        <v>31</v>
      </c>
    </row>
    <row r="22" spans="1:16" x14ac:dyDescent="0.25">
      <c r="A22" s="1">
        <v>45679</v>
      </c>
      <c r="B22" t="s">
        <v>69</v>
      </c>
      <c r="C22" t="s">
        <v>1</v>
      </c>
      <c r="D22" t="s">
        <v>2</v>
      </c>
      <c r="E22" t="s">
        <v>33</v>
      </c>
      <c r="F22" t="s">
        <v>70</v>
      </c>
      <c r="G22" t="s">
        <v>28</v>
      </c>
      <c r="H22">
        <v>1</v>
      </c>
      <c r="I22" t="s">
        <v>29</v>
      </c>
      <c r="J22">
        <v>366</v>
      </c>
      <c r="K22" t="s">
        <v>11</v>
      </c>
      <c r="L22">
        <v>2000</v>
      </c>
      <c r="M22" s="2">
        <v>8947.9709999999995</v>
      </c>
      <c r="N22" t="s">
        <v>30</v>
      </c>
      <c r="O22" s="2">
        <v>66.229789999999994</v>
      </c>
      <c r="P22" t="s">
        <v>31</v>
      </c>
    </row>
    <row r="23" spans="1:16" x14ac:dyDescent="0.25">
      <c r="A23" s="1">
        <v>45679</v>
      </c>
      <c r="B23" t="s">
        <v>71</v>
      </c>
      <c r="C23" t="s">
        <v>1</v>
      </c>
      <c r="D23" t="s">
        <v>2</v>
      </c>
      <c r="E23" t="s">
        <v>33</v>
      </c>
      <c r="F23" t="s">
        <v>72</v>
      </c>
      <c r="G23" t="s">
        <v>28</v>
      </c>
      <c r="H23">
        <v>1</v>
      </c>
      <c r="I23" t="s">
        <v>29</v>
      </c>
      <c r="J23">
        <v>366</v>
      </c>
      <c r="K23" t="s">
        <v>11</v>
      </c>
      <c r="L23">
        <v>2000</v>
      </c>
      <c r="M23" s="2">
        <v>8947.9709999999995</v>
      </c>
      <c r="N23" t="s">
        <v>30</v>
      </c>
      <c r="O23" s="2">
        <v>66.229789999999994</v>
      </c>
      <c r="P23" t="s">
        <v>31</v>
      </c>
    </row>
    <row r="24" spans="1:16" x14ac:dyDescent="0.25">
      <c r="A24" s="1">
        <v>45679</v>
      </c>
      <c r="B24" t="s">
        <v>73</v>
      </c>
      <c r="C24" t="s">
        <v>1</v>
      </c>
      <c r="D24" t="s">
        <v>2</v>
      </c>
      <c r="E24" t="s">
        <v>33</v>
      </c>
      <c r="F24" t="s">
        <v>74</v>
      </c>
      <c r="G24" t="s">
        <v>28</v>
      </c>
      <c r="H24">
        <v>1</v>
      </c>
      <c r="I24" t="s">
        <v>29</v>
      </c>
      <c r="J24">
        <v>366</v>
      </c>
      <c r="K24" t="s">
        <v>11</v>
      </c>
      <c r="L24">
        <v>2000</v>
      </c>
      <c r="M24" s="2">
        <v>0</v>
      </c>
      <c r="N24" t="s">
        <v>30</v>
      </c>
      <c r="O24" s="2">
        <v>0</v>
      </c>
      <c r="P24" t="s">
        <v>31</v>
      </c>
    </row>
    <row r="25" spans="1:16" x14ac:dyDescent="0.25">
      <c r="A25" s="1">
        <v>45679</v>
      </c>
      <c r="B25" t="s">
        <v>75</v>
      </c>
      <c r="C25" t="s">
        <v>1</v>
      </c>
      <c r="D25" t="s">
        <v>2</v>
      </c>
      <c r="E25" t="s">
        <v>33</v>
      </c>
      <c r="F25" t="s">
        <v>76</v>
      </c>
      <c r="G25" t="s">
        <v>28</v>
      </c>
      <c r="H25">
        <v>1</v>
      </c>
      <c r="I25" t="s">
        <v>29</v>
      </c>
      <c r="J25">
        <v>366</v>
      </c>
      <c r="K25" t="s">
        <v>11</v>
      </c>
      <c r="L25">
        <v>2000</v>
      </c>
      <c r="M25" s="2">
        <v>0</v>
      </c>
      <c r="N25" t="s">
        <v>30</v>
      </c>
      <c r="O25" s="2">
        <v>0</v>
      </c>
      <c r="P25" t="s">
        <v>31</v>
      </c>
    </row>
    <row r="26" spans="1:16" x14ac:dyDescent="0.25">
      <c r="A26" s="1">
        <v>45679</v>
      </c>
      <c r="B26" t="s">
        <v>77</v>
      </c>
      <c r="C26" t="s">
        <v>1</v>
      </c>
      <c r="D26" t="s">
        <v>2</v>
      </c>
      <c r="E26" t="s">
        <v>33</v>
      </c>
      <c r="F26" t="s">
        <v>78</v>
      </c>
      <c r="G26" t="s">
        <v>28</v>
      </c>
      <c r="H26">
        <v>1</v>
      </c>
      <c r="I26" t="s">
        <v>29</v>
      </c>
      <c r="J26">
        <v>366</v>
      </c>
      <c r="K26" t="s">
        <v>11</v>
      </c>
      <c r="L26">
        <v>2000</v>
      </c>
      <c r="M26" s="2">
        <v>0</v>
      </c>
      <c r="N26" t="s">
        <v>30</v>
      </c>
      <c r="O26" s="2">
        <v>0</v>
      </c>
      <c r="P26" t="s">
        <v>31</v>
      </c>
    </row>
    <row r="27" spans="1:16" x14ac:dyDescent="0.25">
      <c r="A27" s="1">
        <v>45679</v>
      </c>
      <c r="B27" t="s">
        <v>79</v>
      </c>
      <c r="C27" t="s">
        <v>1</v>
      </c>
      <c r="D27" t="s">
        <v>2</v>
      </c>
      <c r="E27" t="s">
        <v>33</v>
      </c>
      <c r="F27" t="s">
        <v>80</v>
      </c>
      <c r="G27" t="s">
        <v>28</v>
      </c>
      <c r="H27">
        <v>1</v>
      </c>
      <c r="I27" t="s">
        <v>29</v>
      </c>
      <c r="J27">
        <v>366</v>
      </c>
      <c r="K27" t="s">
        <v>11</v>
      </c>
      <c r="L27">
        <v>2000</v>
      </c>
      <c r="M27" s="2">
        <v>0</v>
      </c>
      <c r="N27" t="s">
        <v>30</v>
      </c>
      <c r="O27" s="2">
        <v>0</v>
      </c>
      <c r="P27" t="s">
        <v>31</v>
      </c>
    </row>
    <row r="28" spans="1:16" x14ac:dyDescent="0.25">
      <c r="A28" s="1">
        <v>45679</v>
      </c>
      <c r="B28" t="s">
        <v>81</v>
      </c>
      <c r="C28" t="s">
        <v>1</v>
      </c>
      <c r="D28" t="s">
        <v>2</v>
      </c>
      <c r="E28" t="s">
        <v>33</v>
      </c>
      <c r="F28" t="s">
        <v>82</v>
      </c>
      <c r="G28" t="s">
        <v>28</v>
      </c>
      <c r="H28">
        <v>1</v>
      </c>
      <c r="I28" t="s">
        <v>29</v>
      </c>
      <c r="J28">
        <v>366</v>
      </c>
      <c r="K28" t="s">
        <v>11</v>
      </c>
      <c r="L28">
        <v>2000</v>
      </c>
      <c r="M28" s="2">
        <v>0</v>
      </c>
      <c r="N28" t="s">
        <v>30</v>
      </c>
      <c r="O28" s="2">
        <v>0</v>
      </c>
      <c r="P28" t="s">
        <v>31</v>
      </c>
    </row>
    <row r="29" spans="1:16" x14ac:dyDescent="0.25">
      <c r="A29" s="1">
        <v>45679</v>
      </c>
      <c r="B29" t="s">
        <v>83</v>
      </c>
      <c r="C29" t="s">
        <v>1</v>
      </c>
      <c r="D29" t="s">
        <v>2</v>
      </c>
      <c r="E29" t="s">
        <v>33</v>
      </c>
      <c r="F29" t="s">
        <v>84</v>
      </c>
      <c r="G29" t="s">
        <v>28</v>
      </c>
      <c r="H29">
        <v>1</v>
      </c>
      <c r="I29" t="s">
        <v>29</v>
      </c>
      <c r="J29">
        <v>366</v>
      </c>
      <c r="K29" t="s">
        <v>11</v>
      </c>
      <c r="L29">
        <v>2000</v>
      </c>
      <c r="M29" s="2">
        <v>0</v>
      </c>
      <c r="N29" t="s">
        <v>30</v>
      </c>
      <c r="O29" s="2">
        <v>0</v>
      </c>
      <c r="P29" t="s">
        <v>31</v>
      </c>
    </row>
    <row r="30" spans="1:16" x14ac:dyDescent="0.25">
      <c r="A30" s="1">
        <v>45679</v>
      </c>
      <c r="B30" t="s">
        <v>85</v>
      </c>
      <c r="C30" t="s">
        <v>1</v>
      </c>
      <c r="D30" t="s">
        <v>2</v>
      </c>
      <c r="E30" t="s">
        <v>33</v>
      </c>
      <c r="F30" t="s">
        <v>86</v>
      </c>
      <c r="G30" t="s">
        <v>28</v>
      </c>
      <c r="H30">
        <v>1</v>
      </c>
      <c r="I30" t="s">
        <v>29</v>
      </c>
      <c r="J30">
        <v>366</v>
      </c>
      <c r="K30" t="s">
        <v>11</v>
      </c>
      <c r="L30">
        <v>2000</v>
      </c>
      <c r="M30" s="2">
        <v>0</v>
      </c>
      <c r="N30" t="s">
        <v>30</v>
      </c>
      <c r="O30" s="2">
        <v>0</v>
      </c>
      <c r="P30" t="s">
        <v>31</v>
      </c>
    </row>
    <row r="31" spans="1:16" x14ac:dyDescent="0.25">
      <c r="A31" s="1">
        <v>45679</v>
      </c>
      <c r="B31" t="s">
        <v>87</v>
      </c>
      <c r="C31" t="s">
        <v>1</v>
      </c>
      <c r="D31" t="s">
        <v>2</v>
      </c>
      <c r="E31" t="s">
        <v>33</v>
      </c>
      <c r="F31" t="s">
        <v>88</v>
      </c>
      <c r="G31" t="s">
        <v>28</v>
      </c>
      <c r="H31">
        <v>1</v>
      </c>
      <c r="I31" t="s">
        <v>29</v>
      </c>
      <c r="J31">
        <v>366</v>
      </c>
      <c r="K31" t="s">
        <v>11</v>
      </c>
      <c r="L31">
        <v>2000</v>
      </c>
      <c r="M31" s="2">
        <v>0</v>
      </c>
      <c r="N31" t="s">
        <v>30</v>
      </c>
      <c r="O31" s="2">
        <v>0</v>
      </c>
      <c r="P31" t="s">
        <v>31</v>
      </c>
    </row>
    <row r="32" spans="1:16" x14ac:dyDescent="0.25">
      <c r="A32" s="1">
        <v>45679</v>
      </c>
      <c r="B32" t="s">
        <v>89</v>
      </c>
      <c r="C32" t="s">
        <v>1</v>
      </c>
      <c r="D32" t="s">
        <v>2</v>
      </c>
      <c r="E32" t="s">
        <v>33</v>
      </c>
      <c r="F32" t="s">
        <v>90</v>
      </c>
      <c r="G32" t="s">
        <v>28</v>
      </c>
      <c r="H32">
        <v>1</v>
      </c>
      <c r="I32" t="s">
        <v>29</v>
      </c>
      <c r="J32">
        <v>366</v>
      </c>
      <c r="K32" t="s">
        <v>11</v>
      </c>
      <c r="L32">
        <v>2000</v>
      </c>
      <c r="M32" s="2">
        <v>0</v>
      </c>
      <c r="N32" t="s">
        <v>30</v>
      </c>
      <c r="O32" s="2">
        <v>0</v>
      </c>
      <c r="P32" t="s">
        <v>31</v>
      </c>
    </row>
    <row r="33" spans="1:16" x14ac:dyDescent="0.25">
      <c r="A33" s="1">
        <v>45679</v>
      </c>
      <c r="B33" t="s">
        <v>91</v>
      </c>
      <c r="C33" t="s">
        <v>1</v>
      </c>
      <c r="D33" t="s">
        <v>2</v>
      </c>
      <c r="E33" t="s">
        <v>33</v>
      </c>
      <c r="F33" t="s">
        <v>92</v>
      </c>
      <c r="G33" t="s">
        <v>28</v>
      </c>
      <c r="H33">
        <v>1</v>
      </c>
      <c r="I33" t="s">
        <v>29</v>
      </c>
      <c r="J33">
        <v>366</v>
      </c>
      <c r="K33" t="s">
        <v>11</v>
      </c>
      <c r="L33">
        <v>2000</v>
      </c>
      <c r="M33" s="2">
        <v>0</v>
      </c>
      <c r="N33" t="s">
        <v>30</v>
      </c>
      <c r="O33" s="2">
        <v>0</v>
      </c>
      <c r="P33" t="s">
        <v>31</v>
      </c>
    </row>
    <row r="34" spans="1:16" x14ac:dyDescent="0.25">
      <c r="A34" s="1">
        <v>45679</v>
      </c>
      <c r="B34" t="s">
        <v>93</v>
      </c>
      <c r="C34" t="s">
        <v>1</v>
      </c>
      <c r="D34" t="s">
        <v>2</v>
      </c>
      <c r="E34" t="s">
        <v>33</v>
      </c>
      <c r="F34" t="s">
        <v>94</v>
      </c>
      <c r="G34" t="s">
        <v>28</v>
      </c>
      <c r="H34">
        <v>1</v>
      </c>
      <c r="I34" t="s">
        <v>29</v>
      </c>
      <c r="J34">
        <v>366</v>
      </c>
      <c r="K34" t="s">
        <v>11</v>
      </c>
      <c r="L34">
        <v>2000</v>
      </c>
      <c r="M34" s="2">
        <v>0</v>
      </c>
      <c r="N34" t="s">
        <v>30</v>
      </c>
      <c r="O34" s="2">
        <v>0</v>
      </c>
      <c r="P34" t="s">
        <v>31</v>
      </c>
    </row>
    <row r="35" spans="1:16" x14ac:dyDescent="0.25">
      <c r="A35" s="1">
        <v>45679</v>
      </c>
      <c r="B35" t="s">
        <v>95</v>
      </c>
      <c r="C35" t="s">
        <v>1</v>
      </c>
      <c r="D35" t="s">
        <v>2</v>
      </c>
      <c r="E35" t="s">
        <v>33</v>
      </c>
      <c r="F35" t="s">
        <v>96</v>
      </c>
      <c r="G35" t="s">
        <v>28</v>
      </c>
      <c r="H35">
        <v>1</v>
      </c>
      <c r="I35" t="s">
        <v>29</v>
      </c>
      <c r="J35">
        <v>366</v>
      </c>
      <c r="K35" t="s">
        <v>11</v>
      </c>
      <c r="L35">
        <v>2000</v>
      </c>
      <c r="M35" s="2">
        <v>20294.47</v>
      </c>
      <c r="N35" t="s">
        <v>30</v>
      </c>
      <c r="O35" s="2">
        <v>150.21270000000001</v>
      </c>
      <c r="P35" t="s">
        <v>31</v>
      </c>
    </row>
    <row r="36" spans="1:16" x14ac:dyDescent="0.25">
      <c r="A36" s="1">
        <v>45679</v>
      </c>
      <c r="B36" t="s">
        <v>97</v>
      </c>
      <c r="C36" t="s">
        <v>1</v>
      </c>
      <c r="D36" t="s">
        <v>2</v>
      </c>
      <c r="E36" t="s">
        <v>33</v>
      </c>
      <c r="F36" t="s">
        <v>98</v>
      </c>
      <c r="G36" t="s">
        <v>28</v>
      </c>
      <c r="H36">
        <v>1</v>
      </c>
      <c r="I36" t="s">
        <v>29</v>
      </c>
      <c r="J36">
        <v>366</v>
      </c>
      <c r="K36" t="s">
        <v>11</v>
      </c>
      <c r="L36">
        <v>2000</v>
      </c>
      <c r="M36" s="2">
        <v>0.49726910000000002</v>
      </c>
      <c r="N36" t="s">
        <v>30</v>
      </c>
      <c r="O36" s="2">
        <v>3.680614E-3</v>
      </c>
      <c r="P36" t="s">
        <v>31</v>
      </c>
    </row>
    <row r="37" spans="1:16" x14ac:dyDescent="0.25">
      <c r="A37" s="1">
        <v>45679</v>
      </c>
      <c r="B37" t="s">
        <v>99</v>
      </c>
      <c r="C37" t="s">
        <v>1</v>
      </c>
      <c r="D37" t="s">
        <v>2</v>
      </c>
      <c r="E37" t="s">
        <v>33</v>
      </c>
      <c r="F37" t="s">
        <v>100</v>
      </c>
      <c r="G37" t="s">
        <v>28</v>
      </c>
      <c r="H37">
        <v>1</v>
      </c>
      <c r="I37" t="s">
        <v>29</v>
      </c>
      <c r="J37">
        <v>366</v>
      </c>
      <c r="K37" t="s">
        <v>11</v>
      </c>
      <c r="L37">
        <v>2000</v>
      </c>
      <c r="M37" s="2">
        <v>6392.3119999999999</v>
      </c>
      <c r="N37" t="s">
        <v>30</v>
      </c>
      <c r="O37" s="2">
        <v>47.313679999999998</v>
      </c>
      <c r="P37" t="s">
        <v>31</v>
      </c>
    </row>
    <row r="38" spans="1:16" x14ac:dyDescent="0.25">
      <c r="A38" s="1">
        <v>45679</v>
      </c>
      <c r="B38" t="s">
        <v>101</v>
      </c>
      <c r="C38" t="s">
        <v>1</v>
      </c>
      <c r="D38" t="s">
        <v>2</v>
      </c>
      <c r="E38" t="s">
        <v>33</v>
      </c>
      <c r="F38" t="s">
        <v>102</v>
      </c>
      <c r="G38" t="s">
        <v>28</v>
      </c>
      <c r="H38">
        <v>1</v>
      </c>
      <c r="I38" t="s">
        <v>29</v>
      </c>
      <c r="J38">
        <v>366</v>
      </c>
      <c r="K38" t="s">
        <v>11</v>
      </c>
      <c r="L38">
        <v>2000</v>
      </c>
      <c r="M38" s="2">
        <v>0</v>
      </c>
      <c r="N38" t="s">
        <v>30</v>
      </c>
      <c r="O38" s="2">
        <v>0</v>
      </c>
      <c r="P38" t="s">
        <v>31</v>
      </c>
    </row>
    <row r="39" spans="1:16" x14ac:dyDescent="0.25">
      <c r="A39" s="1">
        <v>45679</v>
      </c>
      <c r="B39" t="s">
        <v>103</v>
      </c>
      <c r="C39" t="s">
        <v>1</v>
      </c>
      <c r="D39" t="s">
        <v>2</v>
      </c>
      <c r="E39" t="s">
        <v>33</v>
      </c>
      <c r="F39" t="s">
        <v>104</v>
      </c>
      <c r="G39" t="s">
        <v>28</v>
      </c>
      <c r="H39">
        <v>1</v>
      </c>
      <c r="I39" t="s">
        <v>29</v>
      </c>
      <c r="J39">
        <v>366</v>
      </c>
      <c r="K39" t="s">
        <v>11</v>
      </c>
      <c r="L39">
        <v>2000</v>
      </c>
      <c r="M39" s="2">
        <v>0</v>
      </c>
      <c r="N39" t="s">
        <v>30</v>
      </c>
      <c r="O39" s="2">
        <v>0</v>
      </c>
      <c r="P39" t="s">
        <v>31</v>
      </c>
    </row>
    <row r="40" spans="1:16" x14ac:dyDescent="0.25">
      <c r="A40" s="1">
        <v>45679</v>
      </c>
      <c r="B40" t="s">
        <v>105</v>
      </c>
      <c r="C40" t="s">
        <v>1</v>
      </c>
      <c r="D40" t="s">
        <v>2</v>
      </c>
      <c r="E40" t="s">
        <v>33</v>
      </c>
      <c r="F40" t="s">
        <v>106</v>
      </c>
      <c r="G40" t="s">
        <v>28</v>
      </c>
      <c r="H40">
        <v>1</v>
      </c>
      <c r="I40" t="s">
        <v>29</v>
      </c>
      <c r="J40">
        <v>366</v>
      </c>
      <c r="K40" t="s">
        <v>11</v>
      </c>
      <c r="L40">
        <v>2000</v>
      </c>
      <c r="M40" s="2">
        <v>0</v>
      </c>
      <c r="N40" t="s">
        <v>30</v>
      </c>
      <c r="O40" s="2">
        <v>0</v>
      </c>
      <c r="P40" t="s">
        <v>31</v>
      </c>
    </row>
    <row r="41" spans="1:16" x14ac:dyDescent="0.25">
      <c r="A41" s="1">
        <v>45679</v>
      </c>
      <c r="B41" t="s">
        <v>107</v>
      </c>
      <c r="C41" t="s">
        <v>1</v>
      </c>
      <c r="D41" t="s">
        <v>2</v>
      </c>
      <c r="E41" t="s">
        <v>33</v>
      </c>
      <c r="F41" t="s">
        <v>108</v>
      </c>
      <c r="G41" t="s">
        <v>28</v>
      </c>
      <c r="H41">
        <v>1</v>
      </c>
      <c r="I41" t="s">
        <v>29</v>
      </c>
      <c r="J41">
        <v>366</v>
      </c>
      <c r="K41" t="s">
        <v>11</v>
      </c>
      <c r="L41">
        <v>2000</v>
      </c>
      <c r="M41" s="2">
        <v>0</v>
      </c>
      <c r="N41" t="s">
        <v>30</v>
      </c>
      <c r="O41" s="2">
        <v>0</v>
      </c>
      <c r="P41" t="s">
        <v>31</v>
      </c>
    </row>
    <row r="42" spans="1:16" x14ac:dyDescent="0.25">
      <c r="A42" s="1">
        <v>45679</v>
      </c>
      <c r="B42" t="s">
        <v>109</v>
      </c>
      <c r="C42" t="s">
        <v>1</v>
      </c>
      <c r="D42" t="s">
        <v>2</v>
      </c>
      <c r="E42" t="s">
        <v>33</v>
      </c>
      <c r="F42" t="s">
        <v>110</v>
      </c>
      <c r="G42" t="s">
        <v>28</v>
      </c>
      <c r="H42">
        <v>1</v>
      </c>
      <c r="I42" t="s">
        <v>29</v>
      </c>
      <c r="J42">
        <v>366</v>
      </c>
      <c r="K42" t="s">
        <v>11</v>
      </c>
      <c r="L42">
        <v>2000</v>
      </c>
      <c r="M42" s="2">
        <v>0</v>
      </c>
      <c r="N42" t="s">
        <v>30</v>
      </c>
      <c r="O42" s="2">
        <v>0</v>
      </c>
      <c r="P42" t="s">
        <v>31</v>
      </c>
    </row>
    <row r="43" spans="1:16" x14ac:dyDescent="0.25">
      <c r="A43" s="1">
        <v>45679</v>
      </c>
      <c r="B43" t="s">
        <v>111</v>
      </c>
      <c r="C43" t="s">
        <v>1</v>
      </c>
      <c r="D43" t="s">
        <v>2</v>
      </c>
      <c r="E43" t="s">
        <v>33</v>
      </c>
      <c r="F43" t="s">
        <v>112</v>
      </c>
      <c r="G43" t="s">
        <v>28</v>
      </c>
      <c r="H43">
        <v>1</v>
      </c>
      <c r="I43" t="s">
        <v>29</v>
      </c>
      <c r="J43">
        <v>366</v>
      </c>
      <c r="K43" t="s">
        <v>11</v>
      </c>
      <c r="L43">
        <v>2000</v>
      </c>
      <c r="M43" s="2">
        <v>0</v>
      </c>
      <c r="N43" t="s">
        <v>30</v>
      </c>
      <c r="O43" s="2">
        <v>0</v>
      </c>
      <c r="P43" t="s">
        <v>31</v>
      </c>
    </row>
    <row r="44" spans="1:16" x14ac:dyDescent="0.25">
      <c r="A44" s="1">
        <v>45679</v>
      </c>
      <c r="B44" t="s">
        <v>113</v>
      </c>
      <c r="C44" t="s">
        <v>1</v>
      </c>
      <c r="D44" t="s">
        <v>2</v>
      </c>
      <c r="E44" t="s">
        <v>33</v>
      </c>
      <c r="F44" t="s">
        <v>114</v>
      </c>
      <c r="G44" t="s">
        <v>28</v>
      </c>
      <c r="H44">
        <v>1</v>
      </c>
      <c r="I44" t="s">
        <v>29</v>
      </c>
      <c r="J44">
        <v>366</v>
      </c>
      <c r="K44" t="s">
        <v>11</v>
      </c>
      <c r="L44">
        <v>2000</v>
      </c>
      <c r="M44" s="2">
        <v>0</v>
      </c>
      <c r="N44" t="s">
        <v>30</v>
      </c>
      <c r="O44" s="2">
        <v>0</v>
      </c>
      <c r="P44" t="s">
        <v>31</v>
      </c>
    </row>
    <row r="45" spans="1:16" x14ac:dyDescent="0.25">
      <c r="A45" s="1">
        <v>45679</v>
      </c>
      <c r="B45" t="s">
        <v>115</v>
      </c>
      <c r="C45" t="s">
        <v>1</v>
      </c>
      <c r="D45" t="s">
        <v>2</v>
      </c>
      <c r="E45" t="s">
        <v>33</v>
      </c>
      <c r="F45" t="s">
        <v>116</v>
      </c>
      <c r="G45" t="s">
        <v>28</v>
      </c>
      <c r="H45">
        <v>1</v>
      </c>
      <c r="I45" t="s">
        <v>29</v>
      </c>
      <c r="J45">
        <v>366</v>
      </c>
      <c r="K45" t="s">
        <v>11</v>
      </c>
      <c r="L45">
        <v>2000</v>
      </c>
      <c r="M45" s="2">
        <v>0</v>
      </c>
      <c r="N45" t="s">
        <v>30</v>
      </c>
      <c r="O45" s="2">
        <v>0</v>
      </c>
      <c r="P45" t="s">
        <v>31</v>
      </c>
    </row>
    <row r="46" spans="1:16" x14ac:dyDescent="0.25">
      <c r="A46" s="1">
        <v>45679</v>
      </c>
      <c r="B46" t="s">
        <v>117</v>
      </c>
      <c r="C46" t="s">
        <v>1</v>
      </c>
      <c r="D46" t="s">
        <v>2</v>
      </c>
      <c r="E46" t="s">
        <v>33</v>
      </c>
      <c r="F46" t="s">
        <v>118</v>
      </c>
      <c r="G46" t="s">
        <v>28</v>
      </c>
      <c r="H46">
        <v>1</v>
      </c>
      <c r="I46" t="s">
        <v>29</v>
      </c>
      <c r="J46">
        <v>366</v>
      </c>
      <c r="K46" t="s">
        <v>11</v>
      </c>
      <c r="L46">
        <v>2000</v>
      </c>
      <c r="M46" s="2">
        <v>0</v>
      </c>
      <c r="N46" t="s">
        <v>30</v>
      </c>
      <c r="O46" s="2">
        <v>0</v>
      </c>
      <c r="P46" t="s">
        <v>31</v>
      </c>
    </row>
    <row r="47" spans="1:16" x14ac:dyDescent="0.25">
      <c r="A47" s="1">
        <v>45679</v>
      </c>
      <c r="B47" t="s">
        <v>119</v>
      </c>
      <c r="C47" t="s">
        <v>1</v>
      </c>
      <c r="D47" t="s">
        <v>2</v>
      </c>
      <c r="E47" t="s">
        <v>33</v>
      </c>
      <c r="F47" t="s">
        <v>120</v>
      </c>
      <c r="G47" t="s">
        <v>28</v>
      </c>
      <c r="H47">
        <v>1</v>
      </c>
      <c r="I47" t="s">
        <v>29</v>
      </c>
      <c r="J47">
        <v>366</v>
      </c>
      <c r="K47" t="s">
        <v>11</v>
      </c>
      <c r="L47">
        <v>2000</v>
      </c>
      <c r="M47" s="2">
        <v>0</v>
      </c>
      <c r="N47" t="s">
        <v>30</v>
      </c>
      <c r="O47" s="2">
        <v>0</v>
      </c>
      <c r="P47" t="s">
        <v>31</v>
      </c>
    </row>
    <row r="48" spans="1:16" x14ac:dyDescent="0.25">
      <c r="A48" s="1">
        <v>45679</v>
      </c>
      <c r="B48" t="s">
        <v>121</v>
      </c>
      <c r="C48" t="s">
        <v>1</v>
      </c>
      <c r="D48" t="s">
        <v>2</v>
      </c>
      <c r="E48" t="s">
        <v>33</v>
      </c>
      <c r="F48" t="s">
        <v>122</v>
      </c>
      <c r="G48" t="s">
        <v>28</v>
      </c>
      <c r="H48">
        <v>1</v>
      </c>
      <c r="I48" t="s">
        <v>29</v>
      </c>
      <c r="J48">
        <v>366</v>
      </c>
      <c r="K48" t="s">
        <v>11</v>
      </c>
      <c r="L48">
        <v>2000</v>
      </c>
      <c r="M48" s="2">
        <v>0</v>
      </c>
      <c r="N48" t="s">
        <v>30</v>
      </c>
      <c r="O48" s="2">
        <v>0</v>
      </c>
      <c r="P48" t="s">
        <v>31</v>
      </c>
    </row>
    <row r="49" spans="1:18" x14ac:dyDescent="0.25">
      <c r="A49" s="1">
        <v>45679</v>
      </c>
      <c r="B49" t="s">
        <v>123</v>
      </c>
      <c r="C49" t="s">
        <v>1</v>
      </c>
      <c r="D49" t="s">
        <v>2</v>
      </c>
      <c r="E49" t="s">
        <v>33</v>
      </c>
      <c r="F49" t="s">
        <v>124</v>
      </c>
      <c r="G49" t="s">
        <v>28</v>
      </c>
      <c r="H49">
        <v>1</v>
      </c>
      <c r="I49" t="s">
        <v>29</v>
      </c>
      <c r="J49">
        <v>366</v>
      </c>
      <c r="K49" t="s">
        <v>11</v>
      </c>
      <c r="L49">
        <v>2000</v>
      </c>
      <c r="M49" s="2">
        <v>0</v>
      </c>
      <c r="N49" t="s">
        <v>30</v>
      </c>
      <c r="O49" s="2">
        <v>0</v>
      </c>
      <c r="P49" t="s">
        <v>31</v>
      </c>
    </row>
    <row r="50" spans="1:18" x14ac:dyDescent="0.25">
      <c r="A50" s="1">
        <v>45679</v>
      </c>
      <c r="B50" t="s">
        <v>125</v>
      </c>
      <c r="C50" t="s">
        <v>1</v>
      </c>
      <c r="D50" t="s">
        <v>2</v>
      </c>
      <c r="E50" t="s">
        <v>33</v>
      </c>
      <c r="F50" t="s">
        <v>126</v>
      </c>
      <c r="G50" t="s">
        <v>28</v>
      </c>
      <c r="H50">
        <v>1</v>
      </c>
      <c r="I50" t="s">
        <v>29</v>
      </c>
      <c r="J50">
        <v>366</v>
      </c>
      <c r="K50" t="s">
        <v>11</v>
      </c>
      <c r="L50">
        <v>2000</v>
      </c>
      <c r="M50" s="2">
        <v>0</v>
      </c>
      <c r="N50" t="s">
        <v>30</v>
      </c>
      <c r="O50" s="2">
        <v>0</v>
      </c>
      <c r="P50" t="s">
        <v>31</v>
      </c>
    </row>
    <row r="51" spans="1:18" x14ac:dyDescent="0.25">
      <c r="A51" s="1">
        <v>45679</v>
      </c>
      <c r="B51" t="s">
        <v>127</v>
      </c>
      <c r="C51" t="s">
        <v>1</v>
      </c>
      <c r="D51" t="s">
        <v>2</v>
      </c>
      <c r="E51" t="s">
        <v>33</v>
      </c>
      <c r="F51" t="s">
        <v>128</v>
      </c>
      <c r="G51" t="s">
        <v>28</v>
      </c>
      <c r="H51">
        <v>1</v>
      </c>
      <c r="I51" t="s">
        <v>29</v>
      </c>
      <c r="J51">
        <v>366</v>
      </c>
      <c r="K51" t="s">
        <v>11</v>
      </c>
      <c r="L51">
        <v>2000</v>
      </c>
      <c r="M51" s="2">
        <v>0</v>
      </c>
      <c r="N51" t="s">
        <v>30</v>
      </c>
      <c r="O51" s="2">
        <v>0</v>
      </c>
      <c r="P51" t="s">
        <v>31</v>
      </c>
    </row>
    <row r="52" spans="1:18" x14ac:dyDescent="0.25">
      <c r="A52" s="1">
        <v>45679</v>
      </c>
      <c r="B52" t="s">
        <v>129</v>
      </c>
      <c r="C52" t="s">
        <v>1</v>
      </c>
      <c r="D52" t="s">
        <v>2</v>
      </c>
      <c r="E52" t="s">
        <v>33</v>
      </c>
      <c r="F52" t="s">
        <v>130</v>
      </c>
      <c r="G52" t="s">
        <v>28</v>
      </c>
      <c r="H52">
        <v>1</v>
      </c>
      <c r="I52" t="s">
        <v>29</v>
      </c>
      <c r="J52">
        <v>366</v>
      </c>
      <c r="K52" t="s">
        <v>11</v>
      </c>
      <c r="L52">
        <v>2000</v>
      </c>
      <c r="M52" s="2">
        <v>18600.28</v>
      </c>
      <c r="N52" t="s">
        <v>30</v>
      </c>
      <c r="O52" s="2">
        <v>137.6728</v>
      </c>
      <c r="P52" t="s">
        <v>31</v>
      </c>
    </row>
    <row r="53" spans="1:18" x14ac:dyDescent="0.25">
      <c r="A53" s="1">
        <v>45679</v>
      </c>
      <c r="B53" t="s">
        <v>131</v>
      </c>
      <c r="C53" t="s">
        <v>1</v>
      </c>
      <c r="D53" t="s">
        <v>2</v>
      </c>
      <c r="E53" t="s">
        <v>33</v>
      </c>
      <c r="F53" t="s">
        <v>132</v>
      </c>
      <c r="G53" t="s">
        <v>28</v>
      </c>
      <c r="H53">
        <v>1</v>
      </c>
      <c r="I53" t="s">
        <v>29</v>
      </c>
      <c r="J53">
        <v>366</v>
      </c>
      <c r="K53" t="s">
        <v>11</v>
      </c>
      <c r="L53">
        <v>2000</v>
      </c>
      <c r="M53" s="2">
        <v>17728.150000000001</v>
      </c>
      <c r="N53" t="s">
        <v>30</v>
      </c>
      <c r="O53" s="2">
        <v>131.21770000000001</v>
      </c>
      <c r="P53" t="s">
        <v>31</v>
      </c>
    </row>
    <row r="54" spans="1:18" x14ac:dyDescent="0.25">
      <c r="A54" s="1">
        <v>45679</v>
      </c>
      <c r="B54" t="s">
        <v>133</v>
      </c>
      <c r="C54" t="s">
        <v>1</v>
      </c>
      <c r="D54" t="s">
        <v>2</v>
      </c>
      <c r="E54" t="s">
        <v>33</v>
      </c>
      <c r="F54" t="s">
        <v>134</v>
      </c>
      <c r="G54" t="s">
        <v>28</v>
      </c>
      <c r="H54">
        <v>1</v>
      </c>
      <c r="I54" t="s">
        <v>29</v>
      </c>
      <c r="J54">
        <v>366</v>
      </c>
      <c r="K54" t="s">
        <v>11</v>
      </c>
      <c r="L54">
        <v>2000</v>
      </c>
      <c r="M54" s="2">
        <v>55765.57</v>
      </c>
      <c r="N54" t="s">
        <v>30</v>
      </c>
      <c r="O54" s="2">
        <v>412.75749999999999</v>
      </c>
      <c r="P54" t="s">
        <v>31</v>
      </c>
    </row>
    <row r="55" spans="1:18" x14ac:dyDescent="0.25">
      <c r="A55" s="1">
        <v>45679</v>
      </c>
      <c r="B55" t="s">
        <v>135</v>
      </c>
      <c r="C55" t="s">
        <v>1</v>
      </c>
      <c r="D55" t="s">
        <v>2</v>
      </c>
      <c r="E55" t="s">
        <v>33</v>
      </c>
      <c r="F55" t="s">
        <v>136</v>
      </c>
      <c r="G55" t="s">
        <v>28</v>
      </c>
      <c r="H55">
        <v>1</v>
      </c>
      <c r="I55" t="s">
        <v>29</v>
      </c>
      <c r="J55">
        <v>366</v>
      </c>
      <c r="K55" t="s">
        <v>11</v>
      </c>
      <c r="L55">
        <v>2000</v>
      </c>
      <c r="M55" s="2">
        <v>-5.8524329999999998E-3</v>
      </c>
      <c r="N55" t="s">
        <v>30</v>
      </c>
      <c r="O55" s="2">
        <v>-4.3317679999999999E-5</v>
      </c>
      <c r="P55" t="s">
        <v>31</v>
      </c>
    </row>
    <row r="56" spans="1:18" x14ac:dyDescent="0.25">
      <c r="A56" s="1">
        <v>45679</v>
      </c>
      <c r="B56" t="s">
        <v>137</v>
      </c>
      <c r="C56" t="s">
        <v>1</v>
      </c>
      <c r="D56" t="s">
        <v>2</v>
      </c>
      <c r="E56" t="s">
        <v>33</v>
      </c>
      <c r="F56" t="s">
        <v>138</v>
      </c>
      <c r="G56" t="s">
        <v>28</v>
      </c>
      <c r="H56">
        <v>1</v>
      </c>
      <c r="I56" t="s">
        <v>29</v>
      </c>
      <c r="J56">
        <v>366</v>
      </c>
      <c r="K56" t="s">
        <v>11</v>
      </c>
      <c r="L56">
        <v>2000</v>
      </c>
      <c r="M56" s="2">
        <v>4.6930459999999998</v>
      </c>
      <c r="N56" t="s">
        <v>30</v>
      </c>
      <c r="O56" s="2">
        <v>3.4736299999999998E-2</v>
      </c>
      <c r="P56" t="s">
        <v>31</v>
      </c>
    </row>
    <row r="57" spans="1:18" x14ac:dyDescent="0.25">
      <c r="A57" s="1">
        <v>45679</v>
      </c>
      <c r="B57" t="s">
        <v>139</v>
      </c>
      <c r="C57" t="s">
        <v>1</v>
      </c>
      <c r="D57" t="s">
        <v>2</v>
      </c>
      <c r="E57" t="s">
        <v>33</v>
      </c>
      <c r="F57" t="s">
        <v>140</v>
      </c>
      <c r="G57" t="s">
        <v>28</v>
      </c>
      <c r="H57">
        <v>1</v>
      </c>
      <c r="I57" t="s">
        <v>29</v>
      </c>
      <c r="J57">
        <v>366</v>
      </c>
      <c r="K57" t="s">
        <v>11</v>
      </c>
      <c r="L57">
        <v>2000</v>
      </c>
      <c r="M57" s="2">
        <v>0</v>
      </c>
      <c r="N57" t="s">
        <v>30</v>
      </c>
      <c r="O57" s="2">
        <v>0</v>
      </c>
      <c r="P57" t="s">
        <v>31</v>
      </c>
    </row>
    <row r="58" spans="1:18" x14ac:dyDescent="0.25">
      <c r="A58" s="1">
        <v>45679</v>
      </c>
      <c r="B58" t="s">
        <v>141</v>
      </c>
      <c r="C58" t="s">
        <v>1</v>
      </c>
      <c r="D58" t="s">
        <v>2</v>
      </c>
      <c r="E58" t="s">
        <v>33</v>
      </c>
      <c r="F58" t="s">
        <v>142</v>
      </c>
      <c r="G58" t="s">
        <v>28</v>
      </c>
      <c r="H58">
        <v>1</v>
      </c>
      <c r="I58" t="s">
        <v>29</v>
      </c>
      <c r="J58">
        <v>366</v>
      </c>
      <c r="K58" t="s">
        <v>11</v>
      </c>
      <c r="L58">
        <v>2000</v>
      </c>
      <c r="M58" s="2">
        <v>0</v>
      </c>
      <c r="N58" t="s">
        <v>30</v>
      </c>
      <c r="O58" s="2">
        <v>0</v>
      </c>
      <c r="P58" t="s">
        <v>31</v>
      </c>
    </row>
    <row r="59" spans="1:18" x14ac:dyDescent="0.25">
      <c r="A59" s="1">
        <v>45679</v>
      </c>
      <c r="B59" t="s">
        <v>141</v>
      </c>
      <c r="C59" t="s">
        <v>1</v>
      </c>
      <c r="D59" t="s">
        <v>2</v>
      </c>
    </row>
    <row r="60" spans="1:18" x14ac:dyDescent="0.25">
      <c r="A60" s="1">
        <v>45679</v>
      </c>
      <c r="B60" t="s">
        <v>141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143</v>
      </c>
      <c r="I60" t="s">
        <v>144</v>
      </c>
      <c r="J60" t="s">
        <v>12</v>
      </c>
      <c r="K60" t="s">
        <v>13</v>
      </c>
      <c r="L60" t="s">
        <v>145</v>
      </c>
    </row>
    <row r="61" spans="1:18" x14ac:dyDescent="0.25">
      <c r="A61" s="1">
        <v>45679</v>
      </c>
      <c r="B61" t="s">
        <v>146</v>
      </c>
      <c r="C61" t="s">
        <v>1</v>
      </c>
      <c r="D61" t="s">
        <v>2</v>
      </c>
      <c r="E61" t="s">
        <v>25</v>
      </c>
      <c r="F61" t="s">
        <v>12</v>
      </c>
      <c r="G61" t="s">
        <v>13</v>
      </c>
      <c r="H61" t="s">
        <v>27</v>
      </c>
      <c r="I61" t="s">
        <v>28</v>
      </c>
      <c r="J61">
        <v>1</v>
      </c>
      <c r="K61" t="s">
        <v>29</v>
      </c>
      <c r="L61">
        <v>366</v>
      </c>
      <c r="M61" t="s">
        <v>11</v>
      </c>
      <c r="N61">
        <v>2000</v>
      </c>
      <c r="O61" s="2">
        <v>48854.71</v>
      </c>
      <c r="P61" t="s">
        <v>30</v>
      </c>
      <c r="Q61" s="2">
        <v>361.60570000000001</v>
      </c>
      <c r="R61" t="s">
        <v>31</v>
      </c>
    </row>
    <row r="62" spans="1:18" x14ac:dyDescent="0.25">
      <c r="A62" s="1">
        <v>45679</v>
      </c>
      <c r="B62" t="s">
        <v>147</v>
      </c>
      <c r="C62" t="s">
        <v>1</v>
      </c>
      <c r="D62" t="s">
        <v>2</v>
      </c>
      <c r="E62" t="s">
        <v>33</v>
      </c>
      <c r="F62" t="s">
        <v>148</v>
      </c>
      <c r="G62" t="s">
        <v>28</v>
      </c>
      <c r="H62">
        <v>1</v>
      </c>
      <c r="I62" t="s">
        <v>29</v>
      </c>
      <c r="J62">
        <v>366</v>
      </c>
      <c r="K62" t="s">
        <v>11</v>
      </c>
      <c r="L62">
        <v>2000</v>
      </c>
      <c r="M62" s="2">
        <v>100.5488</v>
      </c>
      <c r="N62" t="s">
        <v>30</v>
      </c>
      <c r="O62" s="2">
        <v>0.74422719999999998</v>
      </c>
      <c r="P62" t="s">
        <v>31</v>
      </c>
    </row>
    <row r="63" spans="1:18" x14ac:dyDescent="0.25">
      <c r="A63" s="1">
        <v>45679</v>
      </c>
      <c r="B63" t="s">
        <v>149</v>
      </c>
      <c r="C63" t="s">
        <v>1</v>
      </c>
      <c r="D63" t="s">
        <v>2</v>
      </c>
      <c r="E63" t="s">
        <v>33</v>
      </c>
      <c r="F63" t="s">
        <v>150</v>
      </c>
      <c r="G63" t="s">
        <v>28</v>
      </c>
      <c r="H63">
        <v>1</v>
      </c>
      <c r="I63" t="s">
        <v>29</v>
      </c>
      <c r="J63">
        <v>366</v>
      </c>
      <c r="K63" t="s">
        <v>11</v>
      </c>
      <c r="L63">
        <v>2000</v>
      </c>
      <c r="M63" s="2">
        <v>48853.84</v>
      </c>
      <c r="N63" t="s">
        <v>30</v>
      </c>
      <c r="O63" s="2">
        <v>361.59930000000003</v>
      </c>
      <c r="P63" t="s">
        <v>31</v>
      </c>
    </row>
    <row r="64" spans="1:18" x14ac:dyDescent="0.25">
      <c r="A64" s="1">
        <v>45679</v>
      </c>
      <c r="B64" t="s">
        <v>149</v>
      </c>
      <c r="C64" t="s">
        <v>1</v>
      </c>
      <c r="D64" t="s">
        <v>2</v>
      </c>
      <c r="E64" t="s">
        <v>33</v>
      </c>
      <c r="F64" t="s">
        <v>151</v>
      </c>
      <c r="G64" t="s">
        <v>28</v>
      </c>
      <c r="H64">
        <v>1</v>
      </c>
      <c r="I64" t="s">
        <v>29</v>
      </c>
      <c r="J64">
        <v>366</v>
      </c>
      <c r="K64" t="s">
        <v>11</v>
      </c>
      <c r="L64">
        <v>2000</v>
      </c>
      <c r="M64" s="2">
        <v>1.2741359999999999E-41</v>
      </c>
      <c r="N64" t="s">
        <v>30</v>
      </c>
      <c r="O64" s="2">
        <v>9.4307129999999992E-44</v>
      </c>
      <c r="P64" t="s">
        <v>31</v>
      </c>
    </row>
    <row r="65" spans="1:16" x14ac:dyDescent="0.25">
      <c r="A65" s="1">
        <v>45679</v>
      </c>
      <c r="B65" t="s">
        <v>149</v>
      </c>
      <c r="C65" t="s">
        <v>1</v>
      </c>
      <c r="D65" t="s">
        <v>2</v>
      </c>
      <c r="E65" t="s">
        <v>33</v>
      </c>
      <c r="F65" t="s">
        <v>152</v>
      </c>
      <c r="G65" t="s">
        <v>28</v>
      </c>
      <c r="H65">
        <v>1</v>
      </c>
      <c r="I65" t="s">
        <v>29</v>
      </c>
      <c r="J65">
        <v>366</v>
      </c>
      <c r="K65" t="s">
        <v>11</v>
      </c>
      <c r="L65">
        <v>2000</v>
      </c>
      <c r="M65" s="2">
        <v>0.86822089999999996</v>
      </c>
      <c r="N65" t="s">
        <v>30</v>
      </c>
      <c r="O65" s="2">
        <v>6.4262720000000002E-3</v>
      </c>
      <c r="P65" t="s">
        <v>31</v>
      </c>
    </row>
    <row r="66" spans="1:16" x14ac:dyDescent="0.25">
      <c r="A66" s="1">
        <v>45679</v>
      </c>
      <c r="B66" t="s">
        <v>153</v>
      </c>
      <c r="C66" t="s">
        <v>154</v>
      </c>
      <c r="D66" t="s">
        <v>2</v>
      </c>
      <c r="E66" t="s">
        <v>154</v>
      </c>
      <c r="F66" t="s">
        <v>144</v>
      </c>
      <c r="G66" t="s">
        <v>155</v>
      </c>
      <c r="H66" s="1">
        <v>36891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92C7-95C8-4D82-8019-213FE5D0EFB5}">
  <dimension ref="A1:U65"/>
  <sheetViews>
    <sheetView workbookViewId="0">
      <selection sqref="A1:U65"/>
    </sheetView>
  </sheetViews>
  <sheetFormatPr defaultRowHeight="15" x14ac:dyDescent="0.25"/>
  <sheetData>
    <row r="1" spans="1:21" x14ac:dyDescent="0.25">
      <c r="A1" s="1">
        <v>45679</v>
      </c>
      <c r="B1" t="s">
        <v>156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s="1">
        <v>45679</v>
      </c>
      <c r="B2" t="s">
        <v>157</v>
      </c>
      <c r="C2" t="s">
        <v>1</v>
      </c>
      <c r="D2" t="s">
        <v>2</v>
      </c>
      <c r="E2" t="s">
        <v>21</v>
      </c>
      <c r="F2" t="s">
        <v>22</v>
      </c>
      <c r="G2" s="2">
        <v>135099300</v>
      </c>
      <c r="H2" t="s">
        <v>23</v>
      </c>
    </row>
    <row r="3" spans="1:21" x14ac:dyDescent="0.25">
      <c r="A3" s="1">
        <v>45679</v>
      </c>
      <c r="B3" t="s">
        <v>158</v>
      </c>
      <c r="C3" t="s">
        <v>1</v>
      </c>
      <c r="D3" t="s">
        <v>2</v>
      </c>
      <c r="E3" t="s">
        <v>25</v>
      </c>
      <c r="F3" t="s">
        <v>26</v>
      </c>
      <c r="G3" t="s">
        <v>27</v>
      </c>
      <c r="H3" t="s">
        <v>28</v>
      </c>
      <c r="I3">
        <v>1</v>
      </c>
      <c r="J3" t="s">
        <v>29</v>
      </c>
      <c r="K3">
        <v>366</v>
      </c>
      <c r="L3" t="s">
        <v>11</v>
      </c>
      <c r="M3">
        <v>2000</v>
      </c>
      <c r="N3" s="2">
        <v>1345.4079999999999</v>
      </c>
      <c r="O3" t="s">
        <v>30</v>
      </c>
      <c r="P3" s="2">
        <v>9.9586590000000008</v>
      </c>
      <c r="Q3" t="s">
        <v>31</v>
      </c>
    </row>
    <row r="4" spans="1:21" x14ac:dyDescent="0.25">
      <c r="A4" s="1">
        <v>45679</v>
      </c>
      <c r="B4" t="s">
        <v>159</v>
      </c>
      <c r="C4" t="s">
        <v>1</v>
      </c>
      <c r="D4" t="s">
        <v>2</v>
      </c>
      <c r="E4" t="s">
        <v>33</v>
      </c>
      <c r="F4" t="s">
        <v>34</v>
      </c>
      <c r="G4" t="s">
        <v>28</v>
      </c>
      <c r="H4">
        <v>1</v>
      </c>
      <c r="I4" t="s">
        <v>29</v>
      </c>
      <c r="J4">
        <v>366</v>
      </c>
      <c r="K4" t="s">
        <v>11</v>
      </c>
      <c r="L4">
        <v>2000</v>
      </c>
      <c r="M4" s="2">
        <v>111706</v>
      </c>
      <c r="N4" t="s">
        <v>30</v>
      </c>
      <c r="O4" s="2">
        <v>826.84349999999995</v>
      </c>
      <c r="P4" t="s">
        <v>31</v>
      </c>
    </row>
    <row r="5" spans="1:21" x14ac:dyDescent="0.25">
      <c r="A5" s="1">
        <v>45679</v>
      </c>
      <c r="B5" t="s">
        <v>160</v>
      </c>
      <c r="C5" t="s">
        <v>1</v>
      </c>
      <c r="D5" t="s">
        <v>2</v>
      </c>
      <c r="E5" t="s">
        <v>33</v>
      </c>
      <c r="F5" t="s">
        <v>36</v>
      </c>
      <c r="G5" t="s">
        <v>28</v>
      </c>
      <c r="H5">
        <v>1</v>
      </c>
      <c r="I5" t="s">
        <v>29</v>
      </c>
      <c r="J5">
        <v>366</v>
      </c>
      <c r="K5" t="s">
        <v>11</v>
      </c>
      <c r="L5">
        <v>2000</v>
      </c>
      <c r="M5" s="2">
        <v>28659.81</v>
      </c>
      <c r="N5" t="s">
        <v>30</v>
      </c>
      <c r="O5" s="2">
        <v>212.1387</v>
      </c>
      <c r="P5" t="s">
        <v>31</v>
      </c>
    </row>
    <row r="6" spans="1:21" x14ac:dyDescent="0.25">
      <c r="A6" s="1">
        <v>45679</v>
      </c>
      <c r="B6" t="s">
        <v>161</v>
      </c>
      <c r="C6" t="s">
        <v>1</v>
      </c>
      <c r="D6" t="s">
        <v>2</v>
      </c>
      <c r="E6" t="s">
        <v>33</v>
      </c>
      <c r="F6" t="s">
        <v>38</v>
      </c>
      <c r="G6" t="s">
        <v>28</v>
      </c>
      <c r="H6">
        <v>1</v>
      </c>
      <c r="I6" t="s">
        <v>29</v>
      </c>
      <c r="J6">
        <v>366</v>
      </c>
      <c r="K6" t="s">
        <v>11</v>
      </c>
      <c r="L6">
        <v>2000</v>
      </c>
      <c r="M6" s="2">
        <v>0.55909750000000003</v>
      </c>
      <c r="N6" t="s">
        <v>30</v>
      </c>
      <c r="O6" s="2">
        <v>4.1384170000000001E-3</v>
      </c>
      <c r="P6" t="s">
        <v>31</v>
      </c>
    </row>
    <row r="7" spans="1:21" x14ac:dyDescent="0.25">
      <c r="A7" s="1">
        <v>45679</v>
      </c>
      <c r="B7" t="s">
        <v>162</v>
      </c>
      <c r="C7" t="s">
        <v>1</v>
      </c>
      <c r="D7" t="s">
        <v>2</v>
      </c>
      <c r="E7" t="s">
        <v>33</v>
      </c>
      <c r="F7" t="s">
        <v>40</v>
      </c>
      <c r="G7" t="s">
        <v>28</v>
      </c>
      <c r="H7">
        <v>1</v>
      </c>
      <c r="I7" t="s">
        <v>29</v>
      </c>
      <c r="J7">
        <v>366</v>
      </c>
      <c r="K7" t="s">
        <v>11</v>
      </c>
      <c r="L7">
        <v>2000</v>
      </c>
      <c r="M7" s="2">
        <v>48954.41</v>
      </c>
      <c r="N7" t="s">
        <v>30</v>
      </c>
      <c r="O7" s="2">
        <v>362.35860000000002</v>
      </c>
      <c r="P7" t="s">
        <v>31</v>
      </c>
    </row>
    <row r="8" spans="1:21" x14ac:dyDescent="0.25">
      <c r="A8" s="1">
        <v>45679</v>
      </c>
      <c r="B8" t="s">
        <v>163</v>
      </c>
      <c r="C8" t="s">
        <v>1</v>
      </c>
      <c r="D8" t="s">
        <v>2</v>
      </c>
      <c r="E8" t="s">
        <v>33</v>
      </c>
      <c r="F8" t="s">
        <v>42</v>
      </c>
      <c r="G8" t="s">
        <v>28</v>
      </c>
      <c r="H8">
        <v>1</v>
      </c>
      <c r="I8" t="s">
        <v>29</v>
      </c>
      <c r="J8">
        <v>366</v>
      </c>
      <c r="K8" t="s">
        <v>11</v>
      </c>
      <c r="L8">
        <v>2000</v>
      </c>
      <c r="M8" s="2">
        <v>0</v>
      </c>
      <c r="N8" t="s">
        <v>30</v>
      </c>
      <c r="O8" s="2">
        <v>0</v>
      </c>
      <c r="P8" t="s">
        <v>31</v>
      </c>
    </row>
    <row r="9" spans="1:21" x14ac:dyDescent="0.25">
      <c r="A9" s="1">
        <v>45679</v>
      </c>
      <c r="B9" t="s">
        <v>164</v>
      </c>
      <c r="C9" t="s">
        <v>1</v>
      </c>
      <c r="D9" t="s">
        <v>2</v>
      </c>
      <c r="E9" t="s">
        <v>33</v>
      </c>
      <c r="F9" t="s">
        <v>44</v>
      </c>
      <c r="G9" t="s">
        <v>28</v>
      </c>
      <c r="H9">
        <v>1</v>
      </c>
      <c r="I9" t="s">
        <v>29</v>
      </c>
      <c r="J9">
        <v>366</v>
      </c>
      <c r="K9" t="s">
        <v>11</v>
      </c>
      <c r="L9">
        <v>2000</v>
      </c>
      <c r="M9" s="2">
        <v>88584.22</v>
      </c>
      <c r="N9" t="s">
        <v>30</v>
      </c>
      <c r="O9" s="2">
        <v>655.69690000000003</v>
      </c>
      <c r="P9" t="s">
        <v>31</v>
      </c>
    </row>
    <row r="10" spans="1:21" x14ac:dyDescent="0.25">
      <c r="A10" s="1">
        <v>45679</v>
      </c>
      <c r="B10" t="s">
        <v>165</v>
      </c>
      <c r="C10" t="s">
        <v>1</v>
      </c>
      <c r="D10" t="s">
        <v>2</v>
      </c>
      <c r="E10" t="s">
        <v>33</v>
      </c>
      <c r="F10" t="s">
        <v>46</v>
      </c>
      <c r="G10" t="s">
        <v>28</v>
      </c>
      <c r="H10">
        <v>1</v>
      </c>
      <c r="I10" t="s">
        <v>29</v>
      </c>
      <c r="J10">
        <v>366</v>
      </c>
      <c r="K10" t="s">
        <v>11</v>
      </c>
      <c r="L10">
        <v>2000</v>
      </c>
      <c r="M10" s="2">
        <v>28714.7</v>
      </c>
      <c r="N10" t="s">
        <v>30</v>
      </c>
      <c r="O10" s="2">
        <v>212.54509999999999</v>
      </c>
      <c r="P10" t="s">
        <v>31</v>
      </c>
    </row>
    <row r="11" spans="1:21" x14ac:dyDescent="0.25">
      <c r="A11" s="1">
        <v>45679</v>
      </c>
      <c r="B11" t="s">
        <v>166</v>
      </c>
      <c r="C11" t="s">
        <v>1</v>
      </c>
      <c r="D11" t="s">
        <v>2</v>
      </c>
      <c r="E11" t="s">
        <v>33</v>
      </c>
      <c r="F11" t="s">
        <v>48</v>
      </c>
      <c r="G11" t="s">
        <v>28</v>
      </c>
      <c r="H11">
        <v>1</v>
      </c>
      <c r="I11" t="s">
        <v>29</v>
      </c>
      <c r="J11">
        <v>366</v>
      </c>
      <c r="K11" t="s">
        <v>11</v>
      </c>
      <c r="L11">
        <v>2000</v>
      </c>
      <c r="M11" s="2">
        <v>99930.31</v>
      </c>
      <c r="N11" t="s">
        <v>30</v>
      </c>
      <c r="O11" s="2">
        <v>739.68020000000001</v>
      </c>
      <c r="P11" t="s">
        <v>31</v>
      </c>
    </row>
    <row r="12" spans="1:21" x14ac:dyDescent="0.25">
      <c r="A12" s="1">
        <v>45679</v>
      </c>
      <c r="B12" t="s">
        <v>167</v>
      </c>
      <c r="C12" t="s">
        <v>1</v>
      </c>
      <c r="D12" t="s">
        <v>2</v>
      </c>
      <c r="E12" t="s">
        <v>33</v>
      </c>
      <c r="F12" t="s">
        <v>50</v>
      </c>
      <c r="G12" t="s">
        <v>28</v>
      </c>
      <c r="H12">
        <v>1</v>
      </c>
      <c r="I12" t="s">
        <v>29</v>
      </c>
      <c r="J12">
        <v>366</v>
      </c>
      <c r="K12" t="s">
        <v>11</v>
      </c>
      <c r="L12">
        <v>2000</v>
      </c>
      <c r="M12" s="2">
        <v>120846.2</v>
      </c>
      <c r="N12" t="s">
        <v>30</v>
      </c>
      <c r="O12" s="2">
        <v>894.49839999999995</v>
      </c>
      <c r="P12" t="s">
        <v>31</v>
      </c>
    </row>
    <row r="13" spans="1:21" x14ac:dyDescent="0.25">
      <c r="A13" s="1">
        <v>45679</v>
      </c>
      <c r="B13" t="s">
        <v>168</v>
      </c>
      <c r="C13" t="s">
        <v>1</v>
      </c>
      <c r="D13" t="s">
        <v>2</v>
      </c>
      <c r="E13" t="s">
        <v>33</v>
      </c>
      <c r="F13" t="s">
        <v>52</v>
      </c>
      <c r="G13" t="s">
        <v>28</v>
      </c>
      <c r="H13">
        <v>1</v>
      </c>
      <c r="I13" t="s">
        <v>29</v>
      </c>
      <c r="J13">
        <v>366</v>
      </c>
      <c r="K13" t="s">
        <v>11</v>
      </c>
      <c r="L13">
        <v>2000</v>
      </c>
      <c r="M13" s="2">
        <v>61398.22</v>
      </c>
      <c r="N13" t="s">
        <v>30</v>
      </c>
      <c r="O13" s="2">
        <v>454.46719999999999</v>
      </c>
      <c r="P13" t="s">
        <v>31</v>
      </c>
    </row>
    <row r="14" spans="1:21" x14ac:dyDescent="0.25">
      <c r="A14" s="1">
        <v>45679</v>
      </c>
      <c r="B14" t="s">
        <v>169</v>
      </c>
      <c r="C14" t="s">
        <v>1</v>
      </c>
      <c r="D14" t="s">
        <v>2</v>
      </c>
      <c r="E14" t="s">
        <v>33</v>
      </c>
      <c r="F14" t="s">
        <v>54</v>
      </c>
      <c r="G14" t="s">
        <v>28</v>
      </c>
      <c r="H14">
        <v>1</v>
      </c>
      <c r="I14" t="s">
        <v>29</v>
      </c>
      <c r="J14">
        <v>366</v>
      </c>
      <c r="K14" t="s">
        <v>11</v>
      </c>
      <c r="L14">
        <v>2000</v>
      </c>
      <c r="M14" s="2">
        <v>10465.68</v>
      </c>
      <c r="N14" t="s">
        <v>30</v>
      </c>
      <c r="O14" s="2">
        <v>77.466530000000006</v>
      </c>
      <c r="P14" t="s">
        <v>31</v>
      </c>
    </row>
    <row r="15" spans="1:21" x14ac:dyDescent="0.25">
      <c r="A15" s="1">
        <v>45679</v>
      </c>
      <c r="B15" t="s">
        <v>170</v>
      </c>
      <c r="C15" t="s">
        <v>1</v>
      </c>
      <c r="D15" t="s">
        <v>2</v>
      </c>
      <c r="E15" t="s">
        <v>33</v>
      </c>
      <c r="F15" t="s">
        <v>56</v>
      </c>
      <c r="G15" t="s">
        <v>28</v>
      </c>
      <c r="H15">
        <v>1</v>
      </c>
      <c r="I15" t="s">
        <v>29</v>
      </c>
      <c r="J15">
        <v>366</v>
      </c>
      <c r="K15" t="s">
        <v>11</v>
      </c>
      <c r="L15">
        <v>2000</v>
      </c>
      <c r="M15" s="2">
        <v>0</v>
      </c>
      <c r="N15" t="s">
        <v>30</v>
      </c>
      <c r="O15" s="2">
        <v>0</v>
      </c>
      <c r="P15" t="s">
        <v>31</v>
      </c>
    </row>
    <row r="16" spans="1:21" x14ac:dyDescent="0.25">
      <c r="A16" s="1">
        <v>45679</v>
      </c>
      <c r="B16" t="s">
        <v>171</v>
      </c>
      <c r="C16" t="s">
        <v>1</v>
      </c>
      <c r="D16" t="s">
        <v>2</v>
      </c>
      <c r="E16" t="s">
        <v>33</v>
      </c>
      <c r="F16" t="s">
        <v>58</v>
      </c>
      <c r="G16" t="s">
        <v>28</v>
      </c>
      <c r="H16">
        <v>1</v>
      </c>
      <c r="I16" t="s">
        <v>29</v>
      </c>
      <c r="J16">
        <v>366</v>
      </c>
      <c r="K16" t="s">
        <v>11</v>
      </c>
      <c r="L16">
        <v>2000</v>
      </c>
      <c r="M16" s="2">
        <v>396.70389999999998</v>
      </c>
      <c r="N16" t="s">
        <v>30</v>
      </c>
      <c r="O16" s="2">
        <v>2.9363860000000002</v>
      </c>
      <c r="P16" t="s">
        <v>31</v>
      </c>
    </row>
    <row r="17" spans="1:16" x14ac:dyDescent="0.25">
      <c r="A17" s="1">
        <v>45679</v>
      </c>
      <c r="B17" t="s">
        <v>172</v>
      </c>
      <c r="C17" t="s">
        <v>1</v>
      </c>
      <c r="D17" t="s">
        <v>2</v>
      </c>
      <c r="E17" t="s">
        <v>33</v>
      </c>
      <c r="F17" t="s">
        <v>60</v>
      </c>
      <c r="G17" t="s">
        <v>28</v>
      </c>
      <c r="H17">
        <v>1</v>
      </c>
      <c r="I17" t="s">
        <v>29</v>
      </c>
      <c r="J17">
        <v>366</v>
      </c>
      <c r="K17" t="s">
        <v>11</v>
      </c>
      <c r="L17">
        <v>2000</v>
      </c>
      <c r="M17" s="2">
        <v>14207.25</v>
      </c>
      <c r="N17" t="s">
        <v>30</v>
      </c>
      <c r="O17" s="2">
        <v>105.1615</v>
      </c>
      <c r="P17" t="s">
        <v>31</v>
      </c>
    </row>
    <row r="18" spans="1:16" x14ac:dyDescent="0.25">
      <c r="A18" s="1">
        <v>45679</v>
      </c>
      <c r="B18" t="s">
        <v>173</v>
      </c>
      <c r="C18" t="s">
        <v>1</v>
      </c>
      <c r="D18" t="s">
        <v>2</v>
      </c>
      <c r="E18" t="s">
        <v>33</v>
      </c>
      <c r="F18" t="s">
        <v>62</v>
      </c>
      <c r="G18" t="s">
        <v>28</v>
      </c>
      <c r="H18">
        <v>1</v>
      </c>
      <c r="I18" t="s">
        <v>29</v>
      </c>
      <c r="J18">
        <v>366</v>
      </c>
      <c r="K18" t="s">
        <v>11</v>
      </c>
      <c r="L18">
        <v>2000</v>
      </c>
      <c r="M18" s="2">
        <v>18600.36</v>
      </c>
      <c r="N18" t="s">
        <v>30</v>
      </c>
      <c r="O18" s="2">
        <v>137.67910000000001</v>
      </c>
      <c r="P18" t="s">
        <v>31</v>
      </c>
    </row>
    <row r="19" spans="1:16" x14ac:dyDescent="0.25">
      <c r="A19" s="1">
        <v>45679</v>
      </c>
      <c r="B19" t="s">
        <v>174</v>
      </c>
      <c r="C19" t="s">
        <v>1</v>
      </c>
      <c r="D19" t="s">
        <v>2</v>
      </c>
      <c r="E19" t="s">
        <v>33</v>
      </c>
      <c r="F19" t="s">
        <v>64</v>
      </c>
      <c r="G19" t="s">
        <v>28</v>
      </c>
      <c r="H19">
        <v>1</v>
      </c>
      <c r="I19" t="s">
        <v>29</v>
      </c>
      <c r="J19">
        <v>366</v>
      </c>
      <c r="K19" t="s">
        <v>11</v>
      </c>
      <c r="L19">
        <v>2000</v>
      </c>
      <c r="M19" s="2">
        <v>17728.23</v>
      </c>
      <c r="N19" t="s">
        <v>30</v>
      </c>
      <c r="O19" s="2">
        <v>131.2236</v>
      </c>
      <c r="P19" t="s">
        <v>31</v>
      </c>
    </row>
    <row r="20" spans="1:16" x14ac:dyDescent="0.25">
      <c r="A20" s="1">
        <v>45679</v>
      </c>
      <c r="B20" t="s">
        <v>175</v>
      </c>
      <c r="C20" t="s">
        <v>1</v>
      </c>
      <c r="D20" t="s">
        <v>2</v>
      </c>
      <c r="E20" t="s">
        <v>33</v>
      </c>
      <c r="F20" t="s">
        <v>66</v>
      </c>
      <c r="G20" t="s">
        <v>28</v>
      </c>
      <c r="H20">
        <v>1</v>
      </c>
      <c r="I20" t="s">
        <v>29</v>
      </c>
      <c r="J20">
        <v>366</v>
      </c>
      <c r="K20" t="s">
        <v>11</v>
      </c>
      <c r="L20">
        <v>2000</v>
      </c>
      <c r="M20" s="2">
        <v>36328.589999999997</v>
      </c>
      <c r="N20" t="s">
        <v>30</v>
      </c>
      <c r="O20" s="2">
        <v>268.90280000000001</v>
      </c>
      <c r="P20" t="s">
        <v>31</v>
      </c>
    </row>
    <row r="21" spans="1:16" x14ac:dyDescent="0.25">
      <c r="A21" s="1">
        <v>45679</v>
      </c>
      <c r="B21" t="s">
        <v>176</v>
      </c>
      <c r="C21" t="s">
        <v>1</v>
      </c>
      <c r="D21" t="s">
        <v>2</v>
      </c>
      <c r="E21" t="s">
        <v>33</v>
      </c>
      <c r="F21" t="s">
        <v>68</v>
      </c>
      <c r="G21" t="s">
        <v>28</v>
      </c>
      <c r="H21">
        <v>1</v>
      </c>
      <c r="I21" t="s">
        <v>29</v>
      </c>
      <c r="J21">
        <v>366</v>
      </c>
      <c r="K21" t="s">
        <v>11</v>
      </c>
      <c r="L21">
        <v>2000</v>
      </c>
      <c r="M21" s="2">
        <v>11346.59</v>
      </c>
      <c r="N21" t="s">
        <v>30</v>
      </c>
      <c r="O21" s="2">
        <v>83.986969999999999</v>
      </c>
      <c r="P21" t="s">
        <v>31</v>
      </c>
    </row>
    <row r="22" spans="1:16" x14ac:dyDescent="0.25">
      <c r="A22" s="1">
        <v>45679</v>
      </c>
      <c r="B22" t="s">
        <v>177</v>
      </c>
      <c r="C22" t="s">
        <v>1</v>
      </c>
      <c r="D22" t="s">
        <v>2</v>
      </c>
      <c r="E22" t="s">
        <v>33</v>
      </c>
      <c r="F22" t="s">
        <v>70</v>
      </c>
      <c r="G22" t="s">
        <v>28</v>
      </c>
      <c r="H22">
        <v>1</v>
      </c>
      <c r="I22" t="s">
        <v>29</v>
      </c>
      <c r="J22">
        <v>366</v>
      </c>
      <c r="K22" t="s">
        <v>11</v>
      </c>
      <c r="L22">
        <v>2000</v>
      </c>
      <c r="M22" s="2">
        <v>8948.02</v>
      </c>
      <c r="N22" t="s">
        <v>30</v>
      </c>
      <c r="O22" s="2">
        <v>66.232889999999998</v>
      </c>
      <c r="P22" t="s">
        <v>31</v>
      </c>
    </row>
    <row r="23" spans="1:16" x14ac:dyDescent="0.25">
      <c r="A23" s="1">
        <v>45679</v>
      </c>
      <c r="B23" t="s">
        <v>178</v>
      </c>
      <c r="C23" t="s">
        <v>1</v>
      </c>
      <c r="D23" t="s">
        <v>2</v>
      </c>
      <c r="E23" t="s">
        <v>33</v>
      </c>
      <c r="F23" t="s">
        <v>72</v>
      </c>
      <c r="G23" t="s">
        <v>28</v>
      </c>
      <c r="H23">
        <v>1</v>
      </c>
      <c r="I23" t="s">
        <v>29</v>
      </c>
      <c r="J23">
        <v>366</v>
      </c>
      <c r="K23" t="s">
        <v>11</v>
      </c>
      <c r="L23">
        <v>2000</v>
      </c>
      <c r="M23" s="2">
        <v>8948.02</v>
      </c>
      <c r="N23" t="s">
        <v>30</v>
      </c>
      <c r="O23" s="2">
        <v>66.232889999999998</v>
      </c>
      <c r="P23" t="s">
        <v>31</v>
      </c>
    </row>
    <row r="24" spans="1:16" x14ac:dyDescent="0.25">
      <c r="A24" s="1">
        <v>45679</v>
      </c>
      <c r="B24" t="s">
        <v>179</v>
      </c>
      <c r="C24" t="s">
        <v>1</v>
      </c>
      <c r="D24" t="s">
        <v>2</v>
      </c>
      <c r="E24" t="s">
        <v>33</v>
      </c>
      <c r="F24" t="s">
        <v>74</v>
      </c>
      <c r="G24" t="s">
        <v>28</v>
      </c>
      <c r="H24">
        <v>1</v>
      </c>
      <c r="I24" t="s">
        <v>29</v>
      </c>
      <c r="J24">
        <v>366</v>
      </c>
      <c r="K24" t="s">
        <v>11</v>
      </c>
      <c r="L24">
        <v>2000</v>
      </c>
      <c r="M24" s="2">
        <v>0</v>
      </c>
      <c r="N24" t="s">
        <v>30</v>
      </c>
      <c r="O24" s="2">
        <v>0</v>
      </c>
      <c r="P24" t="s">
        <v>31</v>
      </c>
    </row>
    <row r="25" spans="1:16" x14ac:dyDescent="0.25">
      <c r="A25" s="1">
        <v>45679</v>
      </c>
      <c r="B25" t="s">
        <v>180</v>
      </c>
      <c r="C25" t="s">
        <v>1</v>
      </c>
      <c r="D25" t="s">
        <v>2</v>
      </c>
      <c r="E25" t="s">
        <v>33</v>
      </c>
      <c r="F25" t="s">
        <v>76</v>
      </c>
      <c r="G25" t="s">
        <v>28</v>
      </c>
      <c r="H25">
        <v>1</v>
      </c>
      <c r="I25" t="s">
        <v>29</v>
      </c>
      <c r="J25">
        <v>366</v>
      </c>
      <c r="K25" t="s">
        <v>11</v>
      </c>
      <c r="L25">
        <v>2000</v>
      </c>
      <c r="M25" s="2">
        <v>0</v>
      </c>
      <c r="N25" t="s">
        <v>30</v>
      </c>
      <c r="O25" s="2">
        <v>0</v>
      </c>
      <c r="P25" t="s">
        <v>31</v>
      </c>
    </row>
    <row r="26" spans="1:16" x14ac:dyDescent="0.25">
      <c r="A26" s="1">
        <v>45679</v>
      </c>
      <c r="B26" t="s">
        <v>181</v>
      </c>
      <c r="C26" t="s">
        <v>1</v>
      </c>
      <c r="D26" t="s">
        <v>2</v>
      </c>
      <c r="E26" t="s">
        <v>33</v>
      </c>
      <c r="F26" t="s">
        <v>78</v>
      </c>
      <c r="G26" t="s">
        <v>28</v>
      </c>
      <c r="H26">
        <v>1</v>
      </c>
      <c r="I26" t="s">
        <v>29</v>
      </c>
      <c r="J26">
        <v>366</v>
      </c>
      <c r="K26" t="s">
        <v>11</v>
      </c>
      <c r="L26">
        <v>2000</v>
      </c>
      <c r="M26" s="2">
        <v>0</v>
      </c>
      <c r="N26" t="s">
        <v>30</v>
      </c>
      <c r="O26" s="2">
        <v>0</v>
      </c>
      <c r="P26" t="s">
        <v>31</v>
      </c>
    </row>
    <row r="27" spans="1:16" x14ac:dyDescent="0.25">
      <c r="A27" s="1">
        <v>45679</v>
      </c>
      <c r="B27" t="s">
        <v>182</v>
      </c>
      <c r="C27" t="s">
        <v>1</v>
      </c>
      <c r="D27" t="s">
        <v>2</v>
      </c>
      <c r="E27" t="s">
        <v>33</v>
      </c>
      <c r="F27" t="s">
        <v>80</v>
      </c>
      <c r="G27" t="s">
        <v>28</v>
      </c>
      <c r="H27">
        <v>1</v>
      </c>
      <c r="I27" t="s">
        <v>29</v>
      </c>
      <c r="J27">
        <v>366</v>
      </c>
      <c r="K27" t="s">
        <v>11</v>
      </c>
      <c r="L27">
        <v>2000</v>
      </c>
      <c r="M27" s="2">
        <v>0</v>
      </c>
      <c r="N27" t="s">
        <v>30</v>
      </c>
      <c r="O27" s="2">
        <v>0</v>
      </c>
      <c r="P27" t="s">
        <v>31</v>
      </c>
    </row>
    <row r="28" spans="1:16" x14ac:dyDescent="0.25">
      <c r="A28" s="1">
        <v>45679</v>
      </c>
      <c r="B28" t="s">
        <v>183</v>
      </c>
      <c r="C28" t="s">
        <v>1</v>
      </c>
      <c r="D28" t="s">
        <v>2</v>
      </c>
      <c r="E28" t="s">
        <v>33</v>
      </c>
      <c r="F28" t="s">
        <v>82</v>
      </c>
      <c r="G28" t="s">
        <v>28</v>
      </c>
      <c r="H28">
        <v>1</v>
      </c>
      <c r="I28" t="s">
        <v>29</v>
      </c>
      <c r="J28">
        <v>366</v>
      </c>
      <c r="K28" t="s">
        <v>11</v>
      </c>
      <c r="L28">
        <v>2000</v>
      </c>
      <c r="M28" s="2">
        <v>0</v>
      </c>
      <c r="N28" t="s">
        <v>30</v>
      </c>
      <c r="O28" s="2">
        <v>0</v>
      </c>
      <c r="P28" t="s">
        <v>31</v>
      </c>
    </row>
    <row r="29" spans="1:16" x14ac:dyDescent="0.25">
      <c r="A29" s="1">
        <v>45679</v>
      </c>
      <c r="B29" t="s">
        <v>184</v>
      </c>
      <c r="C29" t="s">
        <v>1</v>
      </c>
      <c r="D29" t="s">
        <v>2</v>
      </c>
      <c r="E29" t="s">
        <v>33</v>
      </c>
      <c r="F29" t="s">
        <v>84</v>
      </c>
      <c r="G29" t="s">
        <v>28</v>
      </c>
      <c r="H29">
        <v>1</v>
      </c>
      <c r="I29" t="s">
        <v>29</v>
      </c>
      <c r="J29">
        <v>366</v>
      </c>
      <c r="K29" t="s">
        <v>11</v>
      </c>
      <c r="L29">
        <v>2000</v>
      </c>
      <c r="M29" s="2">
        <v>0</v>
      </c>
      <c r="N29" t="s">
        <v>30</v>
      </c>
      <c r="O29" s="2">
        <v>0</v>
      </c>
      <c r="P29" t="s">
        <v>31</v>
      </c>
    </row>
    <row r="30" spans="1:16" x14ac:dyDescent="0.25">
      <c r="A30" s="1">
        <v>45679</v>
      </c>
      <c r="B30" t="s">
        <v>185</v>
      </c>
      <c r="C30" t="s">
        <v>1</v>
      </c>
      <c r="D30" t="s">
        <v>2</v>
      </c>
      <c r="E30" t="s">
        <v>33</v>
      </c>
      <c r="F30" t="s">
        <v>86</v>
      </c>
      <c r="G30" t="s">
        <v>28</v>
      </c>
      <c r="H30">
        <v>1</v>
      </c>
      <c r="I30" t="s">
        <v>29</v>
      </c>
      <c r="J30">
        <v>366</v>
      </c>
      <c r="K30" t="s">
        <v>11</v>
      </c>
      <c r="L30">
        <v>2000</v>
      </c>
      <c r="M30" s="2">
        <v>0</v>
      </c>
      <c r="N30" t="s">
        <v>30</v>
      </c>
      <c r="O30" s="2">
        <v>0</v>
      </c>
      <c r="P30" t="s">
        <v>31</v>
      </c>
    </row>
    <row r="31" spans="1:16" x14ac:dyDescent="0.25">
      <c r="A31" s="1">
        <v>45679</v>
      </c>
      <c r="B31" t="s">
        <v>186</v>
      </c>
      <c r="C31" t="s">
        <v>1</v>
      </c>
      <c r="D31" t="s">
        <v>2</v>
      </c>
      <c r="E31" t="s">
        <v>33</v>
      </c>
      <c r="F31" t="s">
        <v>88</v>
      </c>
      <c r="G31" t="s">
        <v>28</v>
      </c>
      <c r="H31">
        <v>1</v>
      </c>
      <c r="I31" t="s">
        <v>29</v>
      </c>
      <c r="J31">
        <v>366</v>
      </c>
      <c r="K31" t="s">
        <v>11</v>
      </c>
      <c r="L31">
        <v>2000</v>
      </c>
      <c r="M31" s="2">
        <v>0</v>
      </c>
      <c r="N31" t="s">
        <v>30</v>
      </c>
      <c r="O31" s="2">
        <v>0</v>
      </c>
      <c r="P31" t="s">
        <v>31</v>
      </c>
    </row>
    <row r="32" spans="1:16" x14ac:dyDescent="0.25">
      <c r="A32" s="1">
        <v>45679</v>
      </c>
      <c r="B32" t="s">
        <v>187</v>
      </c>
      <c r="C32" t="s">
        <v>1</v>
      </c>
      <c r="D32" t="s">
        <v>2</v>
      </c>
      <c r="E32" t="s">
        <v>33</v>
      </c>
      <c r="F32" t="s">
        <v>90</v>
      </c>
      <c r="G32" t="s">
        <v>28</v>
      </c>
      <c r="H32">
        <v>1</v>
      </c>
      <c r="I32" t="s">
        <v>29</v>
      </c>
      <c r="J32">
        <v>366</v>
      </c>
      <c r="K32" t="s">
        <v>11</v>
      </c>
      <c r="L32">
        <v>2000</v>
      </c>
      <c r="M32" s="2">
        <v>0</v>
      </c>
      <c r="N32" t="s">
        <v>30</v>
      </c>
      <c r="O32" s="2">
        <v>0</v>
      </c>
      <c r="P32" t="s">
        <v>31</v>
      </c>
    </row>
    <row r="33" spans="1:16" x14ac:dyDescent="0.25">
      <c r="A33" s="1">
        <v>45679</v>
      </c>
      <c r="B33" t="s">
        <v>188</v>
      </c>
      <c r="C33" t="s">
        <v>1</v>
      </c>
      <c r="D33" t="s">
        <v>2</v>
      </c>
      <c r="E33" t="s">
        <v>33</v>
      </c>
      <c r="F33" t="s">
        <v>92</v>
      </c>
      <c r="G33" t="s">
        <v>28</v>
      </c>
      <c r="H33">
        <v>1</v>
      </c>
      <c r="I33" t="s">
        <v>29</v>
      </c>
      <c r="J33">
        <v>366</v>
      </c>
      <c r="K33" t="s">
        <v>11</v>
      </c>
      <c r="L33">
        <v>2000</v>
      </c>
      <c r="M33" s="2">
        <v>0</v>
      </c>
      <c r="N33" t="s">
        <v>30</v>
      </c>
      <c r="O33" s="2">
        <v>0</v>
      </c>
      <c r="P33" t="s">
        <v>31</v>
      </c>
    </row>
    <row r="34" spans="1:16" x14ac:dyDescent="0.25">
      <c r="A34" s="1">
        <v>45679</v>
      </c>
      <c r="B34" t="s">
        <v>189</v>
      </c>
      <c r="C34" t="s">
        <v>1</v>
      </c>
      <c r="D34" t="s">
        <v>2</v>
      </c>
      <c r="E34" t="s">
        <v>33</v>
      </c>
      <c r="F34" t="s">
        <v>94</v>
      </c>
      <c r="G34" t="s">
        <v>28</v>
      </c>
      <c r="H34">
        <v>1</v>
      </c>
      <c r="I34" t="s">
        <v>29</v>
      </c>
      <c r="J34">
        <v>366</v>
      </c>
      <c r="K34" t="s">
        <v>11</v>
      </c>
      <c r="L34">
        <v>2000</v>
      </c>
      <c r="M34" s="2">
        <v>0</v>
      </c>
      <c r="N34" t="s">
        <v>30</v>
      </c>
      <c r="O34" s="2">
        <v>0</v>
      </c>
      <c r="P34" t="s">
        <v>31</v>
      </c>
    </row>
    <row r="35" spans="1:16" x14ac:dyDescent="0.25">
      <c r="A35" s="1">
        <v>45679</v>
      </c>
      <c r="B35" t="s">
        <v>190</v>
      </c>
      <c r="C35" t="s">
        <v>1</v>
      </c>
      <c r="D35" t="s">
        <v>2</v>
      </c>
      <c r="E35" t="s">
        <v>33</v>
      </c>
      <c r="F35" t="s">
        <v>96</v>
      </c>
      <c r="G35" t="s">
        <v>28</v>
      </c>
      <c r="H35">
        <v>1</v>
      </c>
      <c r="I35" t="s">
        <v>29</v>
      </c>
      <c r="J35">
        <v>366</v>
      </c>
      <c r="K35" t="s">
        <v>11</v>
      </c>
      <c r="L35">
        <v>2000</v>
      </c>
      <c r="M35" s="2">
        <v>20294.61</v>
      </c>
      <c r="N35" t="s">
        <v>30</v>
      </c>
      <c r="O35" s="2">
        <v>150.2199</v>
      </c>
      <c r="P35" t="s">
        <v>31</v>
      </c>
    </row>
    <row r="36" spans="1:16" x14ac:dyDescent="0.25">
      <c r="A36" s="1">
        <v>45679</v>
      </c>
      <c r="B36" t="s">
        <v>191</v>
      </c>
      <c r="C36" t="s">
        <v>1</v>
      </c>
      <c r="D36" t="s">
        <v>2</v>
      </c>
      <c r="E36" t="s">
        <v>33</v>
      </c>
      <c r="F36" t="s">
        <v>98</v>
      </c>
      <c r="G36" t="s">
        <v>28</v>
      </c>
      <c r="H36">
        <v>1</v>
      </c>
      <c r="I36" t="s">
        <v>29</v>
      </c>
      <c r="J36">
        <v>366</v>
      </c>
      <c r="K36" t="s">
        <v>11</v>
      </c>
      <c r="L36">
        <v>2000</v>
      </c>
      <c r="M36" s="2">
        <v>0.49727009999999999</v>
      </c>
      <c r="N36" t="s">
        <v>30</v>
      </c>
      <c r="O36" s="2">
        <v>3.6807739999999999E-3</v>
      </c>
      <c r="P36" t="s">
        <v>31</v>
      </c>
    </row>
    <row r="37" spans="1:16" x14ac:dyDescent="0.25">
      <c r="A37" s="1">
        <v>45679</v>
      </c>
      <c r="B37" t="s">
        <v>192</v>
      </c>
      <c r="C37" t="s">
        <v>1</v>
      </c>
      <c r="D37" t="s">
        <v>2</v>
      </c>
      <c r="E37" t="s">
        <v>33</v>
      </c>
      <c r="F37" t="s">
        <v>100</v>
      </c>
      <c r="G37" t="s">
        <v>28</v>
      </c>
      <c r="H37">
        <v>1</v>
      </c>
      <c r="I37" t="s">
        <v>29</v>
      </c>
      <c r="J37">
        <v>366</v>
      </c>
      <c r="K37" t="s">
        <v>11</v>
      </c>
      <c r="L37">
        <v>2000</v>
      </c>
      <c r="M37" s="2">
        <v>6392.317</v>
      </c>
      <c r="N37" t="s">
        <v>30</v>
      </c>
      <c r="O37" s="2">
        <v>47.31568</v>
      </c>
      <c r="P37" t="s">
        <v>31</v>
      </c>
    </row>
    <row r="38" spans="1:16" x14ac:dyDescent="0.25">
      <c r="A38" s="1">
        <v>45679</v>
      </c>
      <c r="B38" t="s">
        <v>193</v>
      </c>
      <c r="C38" t="s">
        <v>1</v>
      </c>
      <c r="D38" t="s">
        <v>2</v>
      </c>
      <c r="E38" t="s">
        <v>33</v>
      </c>
      <c r="F38" t="s">
        <v>102</v>
      </c>
      <c r="G38" t="s">
        <v>28</v>
      </c>
      <c r="H38">
        <v>1</v>
      </c>
      <c r="I38" t="s">
        <v>29</v>
      </c>
      <c r="J38">
        <v>366</v>
      </c>
      <c r="K38" t="s">
        <v>11</v>
      </c>
      <c r="L38">
        <v>2000</v>
      </c>
      <c r="M38" s="2">
        <v>0</v>
      </c>
      <c r="N38" t="s">
        <v>30</v>
      </c>
      <c r="O38" s="2">
        <v>0</v>
      </c>
      <c r="P38" t="s">
        <v>31</v>
      </c>
    </row>
    <row r="39" spans="1:16" x14ac:dyDescent="0.25">
      <c r="A39" s="1">
        <v>45679</v>
      </c>
      <c r="B39" t="s">
        <v>194</v>
      </c>
      <c r="C39" t="s">
        <v>1</v>
      </c>
      <c r="D39" t="s">
        <v>2</v>
      </c>
      <c r="E39" t="s">
        <v>33</v>
      </c>
      <c r="F39" t="s">
        <v>104</v>
      </c>
      <c r="G39" t="s">
        <v>28</v>
      </c>
      <c r="H39">
        <v>1</v>
      </c>
      <c r="I39" t="s">
        <v>29</v>
      </c>
      <c r="J39">
        <v>366</v>
      </c>
      <c r="K39" t="s">
        <v>11</v>
      </c>
      <c r="L39">
        <v>2000</v>
      </c>
      <c r="M39" s="2">
        <v>0</v>
      </c>
      <c r="N39" t="s">
        <v>30</v>
      </c>
      <c r="O39" s="2">
        <v>0</v>
      </c>
      <c r="P39" t="s">
        <v>31</v>
      </c>
    </row>
    <row r="40" spans="1:16" x14ac:dyDescent="0.25">
      <c r="A40" s="1">
        <v>45679</v>
      </c>
      <c r="B40" t="s">
        <v>195</v>
      </c>
      <c r="C40" t="s">
        <v>1</v>
      </c>
      <c r="D40" t="s">
        <v>2</v>
      </c>
      <c r="E40" t="s">
        <v>33</v>
      </c>
      <c r="F40" t="s">
        <v>106</v>
      </c>
      <c r="G40" t="s">
        <v>28</v>
      </c>
      <c r="H40">
        <v>1</v>
      </c>
      <c r="I40" t="s">
        <v>29</v>
      </c>
      <c r="J40">
        <v>366</v>
      </c>
      <c r="K40" t="s">
        <v>11</v>
      </c>
      <c r="L40">
        <v>2000</v>
      </c>
      <c r="M40" s="2">
        <v>0</v>
      </c>
      <c r="N40" t="s">
        <v>30</v>
      </c>
      <c r="O40" s="2">
        <v>0</v>
      </c>
      <c r="P40" t="s">
        <v>31</v>
      </c>
    </row>
    <row r="41" spans="1:16" x14ac:dyDescent="0.25">
      <c r="A41" s="1">
        <v>45679</v>
      </c>
      <c r="B41" t="s">
        <v>196</v>
      </c>
      <c r="C41" t="s">
        <v>1</v>
      </c>
      <c r="D41" t="s">
        <v>2</v>
      </c>
      <c r="E41" t="s">
        <v>33</v>
      </c>
      <c r="F41" t="s">
        <v>108</v>
      </c>
      <c r="G41" t="s">
        <v>28</v>
      </c>
      <c r="H41">
        <v>1</v>
      </c>
      <c r="I41" t="s">
        <v>29</v>
      </c>
      <c r="J41">
        <v>366</v>
      </c>
      <c r="K41" t="s">
        <v>11</v>
      </c>
      <c r="L41">
        <v>2000</v>
      </c>
      <c r="M41" s="2">
        <v>0</v>
      </c>
      <c r="N41" t="s">
        <v>30</v>
      </c>
      <c r="O41" s="2">
        <v>0</v>
      </c>
      <c r="P41" t="s">
        <v>31</v>
      </c>
    </row>
    <row r="42" spans="1:16" x14ac:dyDescent="0.25">
      <c r="A42" s="1">
        <v>45679</v>
      </c>
      <c r="B42" t="s">
        <v>197</v>
      </c>
      <c r="C42" t="s">
        <v>1</v>
      </c>
      <c r="D42" t="s">
        <v>2</v>
      </c>
      <c r="E42" t="s">
        <v>33</v>
      </c>
      <c r="F42" t="s">
        <v>110</v>
      </c>
      <c r="G42" t="s">
        <v>28</v>
      </c>
      <c r="H42">
        <v>1</v>
      </c>
      <c r="I42" t="s">
        <v>29</v>
      </c>
      <c r="J42">
        <v>366</v>
      </c>
      <c r="K42" t="s">
        <v>11</v>
      </c>
      <c r="L42">
        <v>2000</v>
      </c>
      <c r="M42" s="2">
        <v>0</v>
      </c>
      <c r="N42" t="s">
        <v>30</v>
      </c>
      <c r="O42" s="2">
        <v>0</v>
      </c>
      <c r="P42" t="s">
        <v>31</v>
      </c>
    </row>
    <row r="43" spans="1:16" x14ac:dyDescent="0.25">
      <c r="A43" s="1">
        <v>45679</v>
      </c>
      <c r="B43" t="s">
        <v>198</v>
      </c>
      <c r="C43" t="s">
        <v>1</v>
      </c>
      <c r="D43" t="s">
        <v>2</v>
      </c>
      <c r="E43" t="s">
        <v>33</v>
      </c>
      <c r="F43" t="s">
        <v>112</v>
      </c>
      <c r="G43" t="s">
        <v>28</v>
      </c>
      <c r="H43">
        <v>1</v>
      </c>
      <c r="I43" t="s">
        <v>29</v>
      </c>
      <c r="J43">
        <v>366</v>
      </c>
      <c r="K43" t="s">
        <v>11</v>
      </c>
      <c r="L43">
        <v>2000</v>
      </c>
      <c r="M43" s="2">
        <v>0</v>
      </c>
      <c r="N43" t="s">
        <v>30</v>
      </c>
      <c r="O43" s="2">
        <v>0</v>
      </c>
      <c r="P43" t="s">
        <v>31</v>
      </c>
    </row>
    <row r="44" spans="1:16" x14ac:dyDescent="0.25">
      <c r="A44" s="1">
        <v>45679</v>
      </c>
      <c r="B44" t="s">
        <v>199</v>
      </c>
      <c r="C44" t="s">
        <v>1</v>
      </c>
      <c r="D44" t="s">
        <v>2</v>
      </c>
      <c r="E44" t="s">
        <v>33</v>
      </c>
      <c r="F44" t="s">
        <v>114</v>
      </c>
      <c r="G44" t="s">
        <v>28</v>
      </c>
      <c r="H44">
        <v>1</v>
      </c>
      <c r="I44" t="s">
        <v>29</v>
      </c>
      <c r="J44">
        <v>366</v>
      </c>
      <c r="K44" t="s">
        <v>11</v>
      </c>
      <c r="L44">
        <v>2000</v>
      </c>
      <c r="M44" s="2">
        <v>0</v>
      </c>
      <c r="N44" t="s">
        <v>30</v>
      </c>
      <c r="O44" s="2">
        <v>0</v>
      </c>
      <c r="P44" t="s">
        <v>31</v>
      </c>
    </row>
    <row r="45" spans="1:16" x14ac:dyDescent="0.25">
      <c r="A45" s="1">
        <v>45679</v>
      </c>
      <c r="B45" t="s">
        <v>200</v>
      </c>
      <c r="C45" t="s">
        <v>1</v>
      </c>
      <c r="D45" t="s">
        <v>2</v>
      </c>
      <c r="E45" t="s">
        <v>33</v>
      </c>
      <c r="F45" t="s">
        <v>116</v>
      </c>
      <c r="G45" t="s">
        <v>28</v>
      </c>
      <c r="H45">
        <v>1</v>
      </c>
      <c r="I45" t="s">
        <v>29</v>
      </c>
      <c r="J45">
        <v>366</v>
      </c>
      <c r="K45" t="s">
        <v>11</v>
      </c>
      <c r="L45">
        <v>2000</v>
      </c>
      <c r="M45" s="2">
        <v>0</v>
      </c>
      <c r="N45" t="s">
        <v>30</v>
      </c>
      <c r="O45" s="2">
        <v>0</v>
      </c>
      <c r="P45" t="s">
        <v>31</v>
      </c>
    </row>
    <row r="46" spans="1:16" x14ac:dyDescent="0.25">
      <c r="A46" s="1">
        <v>45679</v>
      </c>
      <c r="B46" t="s">
        <v>201</v>
      </c>
      <c r="C46" t="s">
        <v>1</v>
      </c>
      <c r="D46" t="s">
        <v>2</v>
      </c>
      <c r="E46" t="s">
        <v>33</v>
      </c>
      <c r="F46" t="s">
        <v>118</v>
      </c>
      <c r="G46" t="s">
        <v>28</v>
      </c>
      <c r="H46">
        <v>1</v>
      </c>
      <c r="I46" t="s">
        <v>29</v>
      </c>
      <c r="J46">
        <v>366</v>
      </c>
      <c r="K46" t="s">
        <v>11</v>
      </c>
      <c r="L46">
        <v>2000</v>
      </c>
      <c r="M46" s="2">
        <v>0</v>
      </c>
      <c r="N46" t="s">
        <v>30</v>
      </c>
      <c r="O46" s="2">
        <v>0</v>
      </c>
      <c r="P46" t="s">
        <v>31</v>
      </c>
    </row>
    <row r="47" spans="1:16" x14ac:dyDescent="0.25">
      <c r="A47" s="1">
        <v>45679</v>
      </c>
      <c r="B47" t="s">
        <v>202</v>
      </c>
      <c r="C47" t="s">
        <v>1</v>
      </c>
      <c r="D47" t="s">
        <v>2</v>
      </c>
      <c r="E47" t="s">
        <v>33</v>
      </c>
      <c r="F47" t="s">
        <v>120</v>
      </c>
      <c r="G47" t="s">
        <v>28</v>
      </c>
      <c r="H47">
        <v>1</v>
      </c>
      <c r="I47" t="s">
        <v>29</v>
      </c>
      <c r="J47">
        <v>366</v>
      </c>
      <c r="K47" t="s">
        <v>11</v>
      </c>
      <c r="L47">
        <v>2000</v>
      </c>
      <c r="M47" s="2">
        <v>0</v>
      </c>
      <c r="N47" t="s">
        <v>30</v>
      </c>
      <c r="O47" s="2">
        <v>0</v>
      </c>
      <c r="P47" t="s">
        <v>31</v>
      </c>
    </row>
    <row r="48" spans="1:16" x14ac:dyDescent="0.25">
      <c r="A48" s="1">
        <v>45679</v>
      </c>
      <c r="B48" t="s">
        <v>203</v>
      </c>
      <c r="C48" t="s">
        <v>1</v>
      </c>
      <c r="D48" t="s">
        <v>2</v>
      </c>
      <c r="E48" t="s">
        <v>33</v>
      </c>
      <c r="F48" t="s">
        <v>122</v>
      </c>
      <c r="G48" t="s">
        <v>28</v>
      </c>
      <c r="H48">
        <v>1</v>
      </c>
      <c r="I48" t="s">
        <v>29</v>
      </c>
      <c r="J48">
        <v>366</v>
      </c>
      <c r="K48" t="s">
        <v>11</v>
      </c>
      <c r="L48">
        <v>2000</v>
      </c>
      <c r="M48" s="2">
        <v>0</v>
      </c>
      <c r="N48" t="s">
        <v>30</v>
      </c>
      <c r="O48" s="2">
        <v>0</v>
      </c>
      <c r="P48" t="s">
        <v>31</v>
      </c>
    </row>
    <row r="49" spans="1:18" x14ac:dyDescent="0.25">
      <c r="A49" s="1">
        <v>45679</v>
      </c>
      <c r="B49" t="s">
        <v>204</v>
      </c>
      <c r="C49" t="s">
        <v>1</v>
      </c>
      <c r="D49" t="s">
        <v>2</v>
      </c>
      <c r="E49" t="s">
        <v>33</v>
      </c>
      <c r="F49" t="s">
        <v>124</v>
      </c>
      <c r="G49" t="s">
        <v>28</v>
      </c>
      <c r="H49">
        <v>1</v>
      </c>
      <c r="I49" t="s">
        <v>29</v>
      </c>
      <c r="J49">
        <v>366</v>
      </c>
      <c r="K49" t="s">
        <v>11</v>
      </c>
      <c r="L49">
        <v>2000</v>
      </c>
      <c r="M49" s="2">
        <v>0</v>
      </c>
      <c r="N49" t="s">
        <v>30</v>
      </c>
      <c r="O49" s="2">
        <v>0</v>
      </c>
      <c r="P49" t="s">
        <v>31</v>
      </c>
    </row>
    <row r="50" spans="1:18" x14ac:dyDescent="0.25">
      <c r="A50" s="1">
        <v>45679</v>
      </c>
      <c r="B50" t="s">
        <v>205</v>
      </c>
      <c r="C50" t="s">
        <v>1</v>
      </c>
      <c r="D50" t="s">
        <v>2</v>
      </c>
      <c r="E50" t="s">
        <v>33</v>
      </c>
      <c r="F50" t="s">
        <v>126</v>
      </c>
      <c r="G50" t="s">
        <v>28</v>
      </c>
      <c r="H50">
        <v>1</v>
      </c>
      <c r="I50" t="s">
        <v>29</v>
      </c>
      <c r="J50">
        <v>366</v>
      </c>
      <c r="K50" t="s">
        <v>11</v>
      </c>
      <c r="L50">
        <v>2000</v>
      </c>
      <c r="M50" s="2">
        <v>0</v>
      </c>
      <c r="N50" t="s">
        <v>30</v>
      </c>
      <c r="O50" s="2">
        <v>0</v>
      </c>
      <c r="P50" t="s">
        <v>31</v>
      </c>
    </row>
    <row r="51" spans="1:18" x14ac:dyDescent="0.25">
      <c r="A51" s="1">
        <v>45679</v>
      </c>
      <c r="B51" t="s">
        <v>206</v>
      </c>
      <c r="C51" t="s">
        <v>1</v>
      </c>
      <c r="D51" t="s">
        <v>2</v>
      </c>
      <c r="E51" t="s">
        <v>33</v>
      </c>
      <c r="F51" t="s">
        <v>128</v>
      </c>
      <c r="G51" t="s">
        <v>28</v>
      </c>
      <c r="H51">
        <v>1</v>
      </c>
      <c r="I51" t="s">
        <v>29</v>
      </c>
      <c r="J51">
        <v>366</v>
      </c>
      <c r="K51" t="s">
        <v>11</v>
      </c>
      <c r="L51">
        <v>2000</v>
      </c>
      <c r="M51" s="2">
        <v>0</v>
      </c>
      <c r="N51" t="s">
        <v>30</v>
      </c>
      <c r="O51" s="2">
        <v>0</v>
      </c>
      <c r="P51" t="s">
        <v>31</v>
      </c>
    </row>
    <row r="52" spans="1:18" x14ac:dyDescent="0.25">
      <c r="A52" s="1">
        <v>45679</v>
      </c>
      <c r="B52" t="s">
        <v>207</v>
      </c>
      <c r="C52" t="s">
        <v>1</v>
      </c>
      <c r="D52" t="s">
        <v>2</v>
      </c>
      <c r="E52" t="s">
        <v>33</v>
      </c>
      <c r="F52" t="s">
        <v>130</v>
      </c>
      <c r="G52" t="s">
        <v>28</v>
      </c>
      <c r="H52">
        <v>1</v>
      </c>
      <c r="I52" t="s">
        <v>29</v>
      </c>
      <c r="J52">
        <v>366</v>
      </c>
      <c r="K52" t="s">
        <v>11</v>
      </c>
      <c r="L52">
        <v>2000</v>
      </c>
      <c r="M52" s="2">
        <v>18600.36</v>
      </c>
      <c r="N52" t="s">
        <v>30</v>
      </c>
      <c r="O52" s="2">
        <v>137.67910000000001</v>
      </c>
      <c r="P52" t="s">
        <v>31</v>
      </c>
    </row>
    <row r="53" spans="1:18" x14ac:dyDescent="0.25">
      <c r="A53" s="1">
        <v>45679</v>
      </c>
      <c r="B53" t="s">
        <v>208</v>
      </c>
      <c r="C53" t="s">
        <v>1</v>
      </c>
      <c r="D53" t="s">
        <v>2</v>
      </c>
      <c r="E53" t="s">
        <v>33</v>
      </c>
      <c r="F53" t="s">
        <v>132</v>
      </c>
      <c r="G53" t="s">
        <v>28</v>
      </c>
      <c r="H53">
        <v>1</v>
      </c>
      <c r="I53" t="s">
        <v>29</v>
      </c>
      <c r="J53">
        <v>366</v>
      </c>
      <c r="K53" t="s">
        <v>11</v>
      </c>
      <c r="L53">
        <v>2000</v>
      </c>
      <c r="M53" s="2">
        <v>17728.23</v>
      </c>
      <c r="N53" t="s">
        <v>30</v>
      </c>
      <c r="O53" s="2">
        <v>131.2236</v>
      </c>
      <c r="P53" t="s">
        <v>31</v>
      </c>
    </row>
    <row r="54" spans="1:18" x14ac:dyDescent="0.25">
      <c r="A54" s="1">
        <v>45679</v>
      </c>
      <c r="B54" t="s">
        <v>209</v>
      </c>
      <c r="C54" t="s">
        <v>1</v>
      </c>
      <c r="D54" t="s">
        <v>2</v>
      </c>
      <c r="E54" t="s">
        <v>33</v>
      </c>
      <c r="F54" t="s">
        <v>134</v>
      </c>
      <c r="G54" t="s">
        <v>28</v>
      </c>
      <c r="H54">
        <v>1</v>
      </c>
      <c r="I54" t="s">
        <v>29</v>
      </c>
      <c r="J54">
        <v>366</v>
      </c>
      <c r="K54" t="s">
        <v>11</v>
      </c>
      <c r="L54">
        <v>2000</v>
      </c>
      <c r="M54" s="2">
        <v>55765.7</v>
      </c>
      <c r="N54" t="s">
        <v>30</v>
      </c>
      <c r="O54" s="2">
        <v>412.77550000000002</v>
      </c>
      <c r="P54" t="s">
        <v>31</v>
      </c>
    </row>
    <row r="55" spans="1:18" x14ac:dyDescent="0.25">
      <c r="A55" s="1">
        <v>45679</v>
      </c>
      <c r="B55" t="s">
        <v>210</v>
      </c>
      <c r="C55" t="s">
        <v>1</v>
      </c>
      <c r="D55" t="s">
        <v>2</v>
      </c>
      <c r="E55" t="s">
        <v>33</v>
      </c>
      <c r="F55" t="s">
        <v>136</v>
      </c>
      <c r="G55" t="s">
        <v>28</v>
      </c>
      <c r="H55">
        <v>1</v>
      </c>
      <c r="I55" t="s">
        <v>29</v>
      </c>
      <c r="J55">
        <v>366</v>
      </c>
      <c r="K55" t="s">
        <v>11</v>
      </c>
      <c r="L55">
        <v>2000</v>
      </c>
      <c r="M55" s="2">
        <v>-5.8523830000000001E-3</v>
      </c>
      <c r="N55" t="s">
        <v>30</v>
      </c>
      <c r="O55" s="2">
        <v>-4.3319099999999997E-5</v>
      </c>
      <c r="P55" t="s">
        <v>31</v>
      </c>
    </row>
    <row r="56" spans="1:18" x14ac:dyDescent="0.25">
      <c r="A56" s="1">
        <v>45679</v>
      </c>
      <c r="B56" t="s">
        <v>211</v>
      </c>
      <c r="C56" t="s">
        <v>1</v>
      </c>
      <c r="D56" t="s">
        <v>2</v>
      </c>
      <c r="E56" t="s">
        <v>33</v>
      </c>
      <c r="F56" t="s">
        <v>138</v>
      </c>
      <c r="G56" t="s">
        <v>28</v>
      </c>
      <c r="H56">
        <v>1</v>
      </c>
      <c r="I56" t="s">
        <v>29</v>
      </c>
      <c r="J56">
        <v>366</v>
      </c>
      <c r="K56" t="s">
        <v>11</v>
      </c>
      <c r="L56">
        <v>2000</v>
      </c>
      <c r="M56" s="2">
        <v>4.6930459999999998</v>
      </c>
      <c r="N56" t="s">
        <v>30</v>
      </c>
      <c r="O56" s="2">
        <v>3.4737740000000003E-2</v>
      </c>
      <c r="P56" t="s">
        <v>31</v>
      </c>
    </row>
    <row r="57" spans="1:18" x14ac:dyDescent="0.25">
      <c r="A57" s="1">
        <v>45679</v>
      </c>
      <c r="B57" t="s">
        <v>212</v>
      </c>
      <c r="C57" t="s">
        <v>1</v>
      </c>
      <c r="D57" t="s">
        <v>2</v>
      </c>
      <c r="E57" t="s">
        <v>33</v>
      </c>
      <c r="F57" t="s">
        <v>140</v>
      </c>
      <c r="G57" t="s">
        <v>28</v>
      </c>
      <c r="H57">
        <v>1</v>
      </c>
      <c r="I57" t="s">
        <v>29</v>
      </c>
      <c r="J57">
        <v>366</v>
      </c>
      <c r="K57" t="s">
        <v>11</v>
      </c>
      <c r="L57">
        <v>2000</v>
      </c>
      <c r="M57" s="2">
        <v>0</v>
      </c>
      <c r="N57" t="s">
        <v>30</v>
      </c>
      <c r="O57" s="2">
        <v>0</v>
      </c>
      <c r="P57" t="s">
        <v>31</v>
      </c>
    </row>
    <row r="58" spans="1:18" x14ac:dyDescent="0.25">
      <c r="A58" s="1">
        <v>45679</v>
      </c>
      <c r="B58" t="s">
        <v>213</v>
      </c>
      <c r="C58" t="s">
        <v>1</v>
      </c>
      <c r="D58" t="s">
        <v>2</v>
      </c>
      <c r="E58" t="s">
        <v>33</v>
      </c>
      <c r="F58" t="s">
        <v>142</v>
      </c>
      <c r="G58" t="s">
        <v>28</v>
      </c>
      <c r="H58">
        <v>1</v>
      </c>
      <c r="I58" t="s">
        <v>29</v>
      </c>
      <c r="J58">
        <v>366</v>
      </c>
      <c r="K58" t="s">
        <v>11</v>
      </c>
      <c r="L58">
        <v>2000</v>
      </c>
      <c r="M58" s="2">
        <v>0</v>
      </c>
      <c r="N58" t="s">
        <v>30</v>
      </c>
      <c r="O58" s="2">
        <v>0</v>
      </c>
      <c r="P58" t="s">
        <v>31</v>
      </c>
    </row>
    <row r="59" spans="1:18" x14ac:dyDescent="0.25">
      <c r="A59" s="1">
        <v>45679</v>
      </c>
      <c r="B59" t="s">
        <v>213</v>
      </c>
      <c r="C59" t="s">
        <v>1</v>
      </c>
      <c r="D59" t="s">
        <v>2</v>
      </c>
    </row>
    <row r="60" spans="1:18" x14ac:dyDescent="0.25">
      <c r="A60" s="1">
        <v>45679</v>
      </c>
      <c r="B60" t="s">
        <v>213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143</v>
      </c>
      <c r="I60" t="s">
        <v>144</v>
      </c>
      <c r="J60" t="s">
        <v>12</v>
      </c>
      <c r="K60" t="s">
        <v>13</v>
      </c>
      <c r="L60" t="s">
        <v>145</v>
      </c>
    </row>
    <row r="61" spans="1:18" x14ac:dyDescent="0.25">
      <c r="A61" s="1">
        <v>45679</v>
      </c>
      <c r="B61" t="s">
        <v>217</v>
      </c>
      <c r="C61" t="s">
        <v>1</v>
      </c>
      <c r="D61" t="s">
        <v>2</v>
      </c>
      <c r="E61" t="s">
        <v>25</v>
      </c>
      <c r="F61" t="s">
        <v>12</v>
      </c>
      <c r="G61" t="s">
        <v>13</v>
      </c>
      <c r="H61" t="s">
        <v>27</v>
      </c>
      <c r="I61" t="s">
        <v>28</v>
      </c>
      <c r="J61">
        <v>1</v>
      </c>
      <c r="K61" t="s">
        <v>29</v>
      </c>
      <c r="L61">
        <v>366</v>
      </c>
      <c r="M61" t="s">
        <v>11</v>
      </c>
      <c r="N61">
        <v>2000</v>
      </c>
      <c r="O61" s="2">
        <v>-3701.02</v>
      </c>
      <c r="P61" t="s">
        <v>30</v>
      </c>
      <c r="Q61" s="2">
        <v>-27.3948</v>
      </c>
      <c r="R61" t="s">
        <v>31</v>
      </c>
    </row>
    <row r="62" spans="1:18" x14ac:dyDescent="0.25">
      <c r="A62" s="1">
        <v>45679</v>
      </c>
      <c r="B62" t="s">
        <v>218</v>
      </c>
      <c r="C62" t="s">
        <v>1</v>
      </c>
      <c r="D62" t="s">
        <v>2</v>
      </c>
      <c r="E62" t="s">
        <v>33</v>
      </c>
      <c r="F62" t="s">
        <v>148</v>
      </c>
      <c r="G62" t="s">
        <v>28</v>
      </c>
      <c r="H62">
        <v>1</v>
      </c>
      <c r="I62" t="s">
        <v>29</v>
      </c>
      <c r="J62">
        <v>366</v>
      </c>
      <c r="K62" t="s">
        <v>11</v>
      </c>
      <c r="L62">
        <v>2000</v>
      </c>
      <c r="M62" s="2">
        <v>33.303319999999999</v>
      </c>
      <c r="N62" t="s">
        <v>30</v>
      </c>
      <c r="O62" s="2">
        <v>0.2465099</v>
      </c>
      <c r="P62" t="s">
        <v>31</v>
      </c>
    </row>
    <row r="63" spans="1:18" x14ac:dyDescent="0.25">
      <c r="A63" s="1">
        <v>45679</v>
      </c>
      <c r="B63" t="s">
        <v>219</v>
      </c>
      <c r="C63" t="s">
        <v>1</v>
      </c>
      <c r="D63" t="s">
        <v>2</v>
      </c>
      <c r="E63" t="s">
        <v>33</v>
      </c>
      <c r="F63" t="s">
        <v>150</v>
      </c>
      <c r="G63" t="s">
        <v>28</v>
      </c>
      <c r="H63">
        <v>1</v>
      </c>
      <c r="I63" t="s">
        <v>29</v>
      </c>
      <c r="J63">
        <v>366</v>
      </c>
      <c r="K63" t="s">
        <v>11</v>
      </c>
      <c r="L63">
        <v>2000</v>
      </c>
      <c r="M63" s="2">
        <v>48921.11</v>
      </c>
      <c r="N63" t="s">
        <v>30</v>
      </c>
      <c r="O63" s="2">
        <v>362.1121</v>
      </c>
      <c r="P63" t="s">
        <v>31</v>
      </c>
    </row>
    <row r="64" spans="1:18" x14ac:dyDescent="0.25">
      <c r="A64" s="1">
        <v>45679</v>
      </c>
      <c r="B64" t="s">
        <v>220</v>
      </c>
      <c r="C64" t="s">
        <v>1</v>
      </c>
      <c r="D64" t="s">
        <v>2</v>
      </c>
      <c r="E64" t="s">
        <v>33</v>
      </c>
      <c r="F64" t="s">
        <v>151</v>
      </c>
      <c r="G64" t="s">
        <v>28</v>
      </c>
      <c r="H64">
        <v>1</v>
      </c>
      <c r="I64" t="s">
        <v>29</v>
      </c>
      <c r="J64">
        <v>366</v>
      </c>
      <c r="K64" t="s">
        <v>11</v>
      </c>
      <c r="L64">
        <v>2000</v>
      </c>
      <c r="M64" s="2">
        <v>52622.13</v>
      </c>
      <c r="N64" t="s">
        <v>30</v>
      </c>
      <c r="O64" s="2">
        <v>389.50689999999997</v>
      </c>
      <c r="P64" t="s">
        <v>31</v>
      </c>
    </row>
    <row r="65" spans="1:16" x14ac:dyDescent="0.25">
      <c r="A65" s="1">
        <v>45679</v>
      </c>
      <c r="B65" t="s">
        <v>220</v>
      </c>
      <c r="C65" t="s">
        <v>1</v>
      </c>
      <c r="D65" t="s">
        <v>2</v>
      </c>
      <c r="E65" t="s">
        <v>33</v>
      </c>
      <c r="F65" t="s">
        <v>152</v>
      </c>
      <c r="G65" t="s">
        <v>28</v>
      </c>
      <c r="H65">
        <v>1</v>
      </c>
      <c r="I65" t="s">
        <v>29</v>
      </c>
      <c r="J65">
        <v>366</v>
      </c>
      <c r="K65" t="s">
        <v>11</v>
      </c>
      <c r="L65">
        <v>2000</v>
      </c>
      <c r="M65" s="2">
        <v>4.456448E-3</v>
      </c>
      <c r="N65" t="s">
        <v>30</v>
      </c>
      <c r="O65" s="2">
        <v>3.2986450000000003E-5</v>
      </c>
      <c r="P6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9792-144B-4693-8E89-4B090A921225}">
  <dimension ref="A2:E64"/>
  <sheetViews>
    <sheetView tabSelected="1" topLeftCell="A10" zoomScaleNormal="100" workbookViewId="0">
      <selection activeCell="J51" sqref="J51:K51"/>
    </sheetView>
  </sheetViews>
  <sheetFormatPr defaultRowHeight="15" x14ac:dyDescent="0.25"/>
  <cols>
    <col min="1" max="1" width="46.85546875" bestFit="1" customWidth="1"/>
    <col min="2" max="4" width="14.28515625" style="3" customWidth="1"/>
    <col min="5" max="5" width="12" style="5" bestFit="1" customWidth="1"/>
  </cols>
  <sheetData>
    <row r="2" spans="1:5" x14ac:dyDescent="0.25">
      <c r="B2" s="3" t="s">
        <v>214</v>
      </c>
      <c r="C2" s="3" t="s">
        <v>215</v>
      </c>
      <c r="D2" s="3" t="s">
        <v>216</v>
      </c>
    </row>
    <row r="3" spans="1:5" x14ac:dyDescent="0.25">
      <c r="A3" t="str">
        <f>lue!F4</f>
        <v>precipitation</v>
      </c>
      <c r="B3" s="4">
        <f>lue!M4</f>
        <v>111706.5</v>
      </c>
      <c r="C3" s="4">
        <f>pcraster!M4</f>
        <v>111706</v>
      </c>
      <c r="D3" s="4">
        <f>(B3-C3)</f>
        <v>0.5</v>
      </c>
      <c r="E3" s="5">
        <f>IF(ABS(D3)&gt;0,D3/C3,0)</f>
        <v>4.476035306966501E-6</v>
      </c>
    </row>
    <row r="4" spans="1:5" x14ac:dyDescent="0.25">
      <c r="A4" t="str">
        <f>lue!F5</f>
        <v>baseflow</v>
      </c>
      <c r="B4" s="4">
        <f>lue!M5</f>
        <v>28659.57</v>
      </c>
      <c r="C4" s="4">
        <f>pcraster!M5</f>
        <v>28659.81</v>
      </c>
      <c r="D4" s="4">
        <f t="shared" ref="D4:D64" si="0">(B4-C4)</f>
        <v>-0.24000000000160071</v>
      </c>
      <c r="E4" s="5">
        <f t="shared" ref="E4:E64" si="1">IF(ABS(D4)&gt;0,D4/C4,0)</f>
        <v>-8.3740959902246629E-6</v>
      </c>
    </row>
    <row r="5" spans="1:5" x14ac:dyDescent="0.25">
      <c r="A5" t="str">
        <f>lue!F6</f>
        <v>surfaceWaterInf</v>
      </c>
      <c r="B5" s="4">
        <f>lue!M6</f>
        <v>0.55909710000000001</v>
      </c>
      <c r="C5" s="4">
        <f>pcraster!M6</f>
        <v>0.55909750000000003</v>
      </c>
      <c r="D5" s="4">
        <f t="shared" si="0"/>
        <v>-4.0000000001150227E-7</v>
      </c>
      <c r="E5" s="5">
        <f t="shared" si="1"/>
        <v>-7.1543872045842135E-7</v>
      </c>
    </row>
    <row r="6" spans="1:5" x14ac:dyDescent="0.25">
      <c r="A6" t="str">
        <f>lue!F7</f>
        <v>runoff</v>
      </c>
      <c r="B6" s="4">
        <f>lue!M7</f>
        <v>48954.33</v>
      </c>
      <c r="C6" s="4">
        <f>pcraster!M7</f>
        <v>48954.41</v>
      </c>
      <c r="D6" s="4">
        <f t="shared" si="0"/>
        <v>-8.000000000174623E-2</v>
      </c>
      <c r="E6" s="5">
        <f t="shared" si="1"/>
        <v>-1.6341735096336822E-6</v>
      </c>
    </row>
    <row r="7" spans="1:5" x14ac:dyDescent="0.25">
      <c r="A7" t="str">
        <f>lue!F8</f>
        <v>unmetDemand</v>
      </c>
      <c r="B7" s="4">
        <f>lue!M8</f>
        <v>0</v>
      </c>
      <c r="C7" s="4">
        <f>pcraster!M8</f>
        <v>0</v>
      </c>
      <c r="D7" s="4">
        <f t="shared" si="0"/>
        <v>0</v>
      </c>
      <c r="E7" s="5">
        <f t="shared" si="1"/>
        <v>0</v>
      </c>
    </row>
    <row r="8" spans="1:5" x14ac:dyDescent="0.25">
      <c r="A8" t="str">
        <f>lue!F9</f>
        <v>infiltration</v>
      </c>
      <c r="B8" s="4">
        <f>lue!M9</f>
        <v>88584.37</v>
      </c>
      <c r="C8" s="4">
        <f>pcraster!M9</f>
        <v>88584.22</v>
      </c>
      <c r="D8" s="4">
        <f t="shared" si="0"/>
        <v>0.14999999999417923</v>
      </c>
      <c r="E8" s="5">
        <f t="shared" si="1"/>
        <v>1.6933038411827662E-6</v>
      </c>
    </row>
    <row r="9" spans="1:5" x14ac:dyDescent="0.25">
      <c r="A9" t="str">
        <f>lue!F10</f>
        <v>gwRecharge</v>
      </c>
      <c r="B9" s="4">
        <f>lue!M10</f>
        <v>28714.65</v>
      </c>
      <c r="C9" s="4">
        <f>pcraster!M10</f>
        <v>28714.7</v>
      </c>
      <c r="D9" s="4">
        <f t="shared" si="0"/>
        <v>-4.9999999999272404E-2</v>
      </c>
      <c r="E9" s="5">
        <f t="shared" si="1"/>
        <v>-1.7412684095349212E-6</v>
      </c>
    </row>
    <row r="10" spans="1:5" x14ac:dyDescent="0.25">
      <c r="A10" t="str">
        <f>lue!F11</f>
        <v>netLqWaterToSoil</v>
      </c>
      <c r="B10" s="4">
        <f>lue!M11</f>
        <v>99930.74</v>
      </c>
      <c r="C10" s="4">
        <f>pcraster!M11</f>
        <v>99930.31</v>
      </c>
      <c r="D10" s="4">
        <f t="shared" si="0"/>
        <v>0.430000000007567</v>
      </c>
      <c r="E10" s="5">
        <f t="shared" si="1"/>
        <v>4.3029987599114527E-6</v>
      </c>
    </row>
    <row r="11" spans="1:5" x14ac:dyDescent="0.25">
      <c r="A11" t="str">
        <f>lue!F12</f>
        <v>totalPotET</v>
      </c>
      <c r="B11" s="4">
        <f>lue!M12</f>
        <v>120845.7</v>
      </c>
      <c r="C11" s="4">
        <f>pcraster!M12</f>
        <v>120846.2</v>
      </c>
      <c r="D11" s="4">
        <f t="shared" si="0"/>
        <v>-0.5</v>
      </c>
      <c r="E11" s="5">
        <f t="shared" si="1"/>
        <v>-4.1374904630844827E-6</v>
      </c>
    </row>
    <row r="12" spans="1:5" x14ac:dyDescent="0.25">
      <c r="A12" t="str">
        <f>lue!F13</f>
        <v>actualET</v>
      </c>
      <c r="B12" s="4">
        <f>lue!M13</f>
        <v>61398.3</v>
      </c>
      <c r="C12" s="4">
        <f>pcraster!M13</f>
        <v>61398.22</v>
      </c>
      <c r="D12" s="4">
        <f t="shared" si="0"/>
        <v>8.000000000174623E-2</v>
      </c>
      <c r="E12" s="5">
        <f t="shared" si="1"/>
        <v>1.3029693694987612E-6</v>
      </c>
    </row>
    <row r="13" spans="1:5" x14ac:dyDescent="0.25">
      <c r="A13" t="str">
        <f>lue!F14</f>
        <v>interceptEvap</v>
      </c>
      <c r="B13" s="4">
        <f>lue!M14</f>
        <v>10465.68</v>
      </c>
      <c r="C13" s="4">
        <f>pcraster!M14</f>
        <v>10465.68</v>
      </c>
      <c r="D13" s="4">
        <f t="shared" si="0"/>
        <v>0</v>
      </c>
      <c r="E13" s="5">
        <f t="shared" si="1"/>
        <v>0</v>
      </c>
    </row>
    <row r="14" spans="1:5" x14ac:dyDescent="0.25">
      <c r="A14" t="str">
        <f>lue!F15</f>
        <v>openWaterEvap</v>
      </c>
      <c r="B14" s="4">
        <f>lue!M15</f>
        <v>0</v>
      </c>
      <c r="C14" s="4">
        <f>pcraster!M15</f>
        <v>0</v>
      </c>
      <c r="D14" s="4">
        <f t="shared" si="0"/>
        <v>0</v>
      </c>
      <c r="E14" s="5">
        <f t="shared" si="1"/>
        <v>0</v>
      </c>
    </row>
    <row r="15" spans="1:5" x14ac:dyDescent="0.25">
      <c r="A15" t="str">
        <f>lue!F16</f>
        <v>actSnowFreeWaterEvap</v>
      </c>
      <c r="B15" s="4">
        <f>lue!M16</f>
        <v>396.7038</v>
      </c>
      <c r="C15" s="4">
        <f>pcraster!M16</f>
        <v>396.70389999999998</v>
      </c>
      <c r="D15" s="4">
        <f t="shared" si="0"/>
        <v>-9.9999999974897946E-5</v>
      </c>
      <c r="E15" s="5">
        <f t="shared" si="1"/>
        <v>-2.5207717891076429E-7</v>
      </c>
    </row>
    <row r="16" spans="1:5" x14ac:dyDescent="0.25">
      <c r="A16" t="str">
        <f>lue!F17</f>
        <v>actBareSoilEvap</v>
      </c>
      <c r="B16" s="4">
        <f>lue!M17</f>
        <v>14207.27</v>
      </c>
      <c r="C16" s="4">
        <f>pcraster!M17</f>
        <v>14207.25</v>
      </c>
      <c r="D16" s="4">
        <f t="shared" si="0"/>
        <v>2.0000000000436557E-2</v>
      </c>
      <c r="E16" s="5">
        <f t="shared" si="1"/>
        <v>1.4077319678640523E-6</v>
      </c>
    </row>
    <row r="17" spans="1:5" x14ac:dyDescent="0.25">
      <c r="A17" t="str">
        <f>lue!F18</f>
        <v>actTranspiUppTotal</v>
      </c>
      <c r="B17" s="4">
        <f>lue!M18</f>
        <v>18600.28</v>
      </c>
      <c r="C17" s="4">
        <f>pcraster!M18</f>
        <v>18600.36</v>
      </c>
      <c r="D17" s="4">
        <f t="shared" si="0"/>
        <v>-8.000000000174623E-2</v>
      </c>
      <c r="E17" s="5">
        <f t="shared" si="1"/>
        <v>-4.3009920239041733E-6</v>
      </c>
    </row>
    <row r="18" spans="1:5" x14ac:dyDescent="0.25">
      <c r="A18" t="str">
        <f>lue!F19</f>
        <v>actTranspiLowTotal</v>
      </c>
      <c r="B18" s="4">
        <f>lue!M19</f>
        <v>17728.150000000001</v>
      </c>
      <c r="C18" s="4">
        <f>pcraster!M19</f>
        <v>17728.23</v>
      </c>
      <c r="D18" s="4">
        <f t="shared" si="0"/>
        <v>-7.9999999998108251E-2</v>
      </c>
      <c r="E18" s="5">
        <f t="shared" si="1"/>
        <v>-4.5125768335647862E-6</v>
      </c>
    </row>
    <row r="19" spans="1:5" x14ac:dyDescent="0.25">
      <c r="A19" t="str">
        <f>lue!F20</f>
        <v>actTranspiTotal</v>
      </c>
      <c r="B19" s="4">
        <f>lue!M20</f>
        <v>36328.44</v>
      </c>
      <c r="C19" s="4">
        <f>pcraster!M20</f>
        <v>36328.589999999997</v>
      </c>
      <c r="D19" s="4">
        <f t="shared" si="0"/>
        <v>-0.14999999999417923</v>
      </c>
      <c r="E19" s="5">
        <f t="shared" si="1"/>
        <v>-4.1289794069678798E-6</v>
      </c>
    </row>
    <row r="20" spans="1:5" x14ac:dyDescent="0.25">
      <c r="A20" t="str">
        <f>lue!F21</f>
        <v>directRunoff</v>
      </c>
      <c r="B20" s="4">
        <f>lue!M21</f>
        <v>11346.45</v>
      </c>
      <c r="C20" s="4">
        <f>pcraster!M21</f>
        <v>11346.59</v>
      </c>
      <c r="D20" s="4">
        <f t="shared" si="0"/>
        <v>-0.13999999999941792</v>
      </c>
      <c r="E20" s="5">
        <f t="shared" si="1"/>
        <v>-1.233850875015471E-5</v>
      </c>
    </row>
    <row r="21" spans="1:5" x14ac:dyDescent="0.25">
      <c r="A21" t="str">
        <f>lue!F22</f>
        <v>interflow</v>
      </c>
      <c r="B21" s="4">
        <f>lue!M22</f>
        <v>8947.9709999999995</v>
      </c>
      <c r="C21" s="4">
        <f>pcraster!M22</f>
        <v>8948.02</v>
      </c>
      <c r="D21" s="4">
        <f t="shared" si="0"/>
        <v>-4.9000000000887667E-2</v>
      </c>
      <c r="E21" s="5">
        <f t="shared" si="1"/>
        <v>-5.4760718014586095E-6</v>
      </c>
    </row>
    <row r="22" spans="1:5" x14ac:dyDescent="0.25">
      <c r="A22" t="str">
        <f>lue!F23</f>
        <v>interflowTotal</v>
      </c>
      <c r="B22" s="4">
        <f>lue!M23</f>
        <v>8947.9709999999995</v>
      </c>
      <c r="C22" s="4">
        <f>pcraster!M23</f>
        <v>8948.02</v>
      </c>
      <c r="D22" s="4">
        <f t="shared" si="0"/>
        <v>-4.9000000000887667E-2</v>
      </c>
      <c r="E22" s="5">
        <f t="shared" si="1"/>
        <v>-5.4760718014586095E-6</v>
      </c>
    </row>
    <row r="23" spans="1:5" x14ac:dyDescent="0.25">
      <c r="A23" t="str">
        <f>lue!F24</f>
        <v>irrGrossDemand</v>
      </c>
      <c r="B23" s="4">
        <f>lue!M24</f>
        <v>0</v>
      </c>
      <c r="C23" s="4">
        <f>pcraster!M24</f>
        <v>0</v>
      </c>
      <c r="D23" s="4">
        <f t="shared" si="0"/>
        <v>0</v>
      </c>
      <c r="E23" s="5">
        <f t="shared" si="1"/>
        <v>0</v>
      </c>
    </row>
    <row r="24" spans="1:5" x14ac:dyDescent="0.25">
      <c r="A24" t="str">
        <f>lue!F25</f>
        <v>nonIrrGrossDemand</v>
      </c>
      <c r="B24" s="4">
        <f>lue!M25</f>
        <v>0</v>
      </c>
      <c r="C24" s="4">
        <f>pcraster!M25</f>
        <v>0</v>
      </c>
      <c r="D24" s="4">
        <f t="shared" si="0"/>
        <v>0</v>
      </c>
      <c r="E24" s="5">
        <f t="shared" si="1"/>
        <v>0</v>
      </c>
    </row>
    <row r="25" spans="1:5" x14ac:dyDescent="0.25">
      <c r="A25" t="str">
        <f>lue!F26</f>
        <v>totalPotentialGrossDemand</v>
      </c>
      <c r="B25" s="4">
        <f>lue!M26</f>
        <v>0</v>
      </c>
      <c r="C25" s="4">
        <f>pcraster!M26</f>
        <v>0</v>
      </c>
      <c r="D25" s="4">
        <f t="shared" si="0"/>
        <v>0</v>
      </c>
      <c r="E25" s="5">
        <f t="shared" si="1"/>
        <v>0</v>
      </c>
    </row>
    <row r="26" spans="1:5" x14ac:dyDescent="0.25">
      <c r="A26" t="str">
        <f>lue!F27</f>
        <v>actSurfaceWaterAbstract</v>
      </c>
      <c r="B26" s="4">
        <f>lue!M27</f>
        <v>0</v>
      </c>
      <c r="C26" s="4">
        <f>pcraster!M27</f>
        <v>0</v>
      </c>
      <c r="D26" s="4">
        <f t="shared" si="0"/>
        <v>0</v>
      </c>
      <c r="E26" s="5">
        <f t="shared" si="1"/>
        <v>0</v>
      </c>
    </row>
    <row r="27" spans="1:5" x14ac:dyDescent="0.25">
      <c r="A27" t="str">
        <f>lue!F28</f>
        <v>allocSurfaceWaterAbstract</v>
      </c>
      <c r="B27" s="4">
        <f>lue!M28</f>
        <v>0</v>
      </c>
      <c r="C27" s="4">
        <f>pcraster!M28</f>
        <v>0</v>
      </c>
      <c r="D27" s="4">
        <f t="shared" si="0"/>
        <v>0</v>
      </c>
      <c r="E27" s="5">
        <f t="shared" si="1"/>
        <v>0</v>
      </c>
    </row>
    <row r="28" spans="1:5" x14ac:dyDescent="0.25">
      <c r="A28" t="str">
        <f>lue!F29</f>
        <v>desalinationAbstraction</v>
      </c>
      <c r="B28" s="4">
        <f>lue!M29</f>
        <v>0</v>
      </c>
      <c r="C28" s="4">
        <f>pcraster!M29</f>
        <v>0</v>
      </c>
      <c r="D28" s="4">
        <f t="shared" si="0"/>
        <v>0</v>
      </c>
      <c r="E28" s="5">
        <f t="shared" si="1"/>
        <v>0</v>
      </c>
    </row>
    <row r="29" spans="1:5" x14ac:dyDescent="0.25">
      <c r="A29" t="str">
        <f>lue!F30</f>
        <v>desalinationAllocation</v>
      </c>
      <c r="B29" s="4">
        <f>lue!M30</f>
        <v>0</v>
      </c>
      <c r="C29" s="4">
        <f>pcraster!M30</f>
        <v>0</v>
      </c>
      <c r="D29" s="4">
        <f t="shared" si="0"/>
        <v>0</v>
      </c>
      <c r="E29" s="5">
        <f t="shared" si="1"/>
        <v>0</v>
      </c>
    </row>
    <row r="30" spans="1:5" x14ac:dyDescent="0.25">
      <c r="A30" t="str">
        <f>lue!F31</f>
        <v>nonFossilGroundwaterAbs</v>
      </c>
      <c r="B30" s="4">
        <f>lue!M31</f>
        <v>0</v>
      </c>
      <c r="C30" s="4">
        <f>pcraster!M31</f>
        <v>0</v>
      </c>
      <c r="D30" s="4">
        <f t="shared" si="0"/>
        <v>0</v>
      </c>
      <c r="E30" s="5">
        <f t="shared" si="1"/>
        <v>0</v>
      </c>
    </row>
    <row r="31" spans="1:5" x14ac:dyDescent="0.25">
      <c r="A31" t="str">
        <f>lue!F32</f>
        <v>allocNonFossilGroundwater</v>
      </c>
      <c r="B31" s="4">
        <f>lue!M32</f>
        <v>0</v>
      </c>
      <c r="C31" s="4">
        <f>pcraster!M32</f>
        <v>0</v>
      </c>
      <c r="D31" s="4">
        <f t="shared" si="0"/>
        <v>0</v>
      </c>
      <c r="E31" s="5">
        <f t="shared" si="1"/>
        <v>0</v>
      </c>
    </row>
    <row r="32" spans="1:5" x14ac:dyDescent="0.25">
      <c r="A32" t="str">
        <f>lue!F33</f>
        <v>fossilGroundwaterAbstr</v>
      </c>
      <c r="B32" s="4">
        <f>lue!M33</f>
        <v>0</v>
      </c>
      <c r="C32" s="4">
        <f>pcraster!M33</f>
        <v>0</v>
      </c>
      <c r="D32" s="4">
        <f t="shared" si="0"/>
        <v>0</v>
      </c>
      <c r="E32" s="5">
        <f t="shared" si="1"/>
        <v>0</v>
      </c>
    </row>
    <row r="33" spans="1:5" x14ac:dyDescent="0.25">
      <c r="A33" t="str">
        <f>lue!F34</f>
        <v>fossilGroundwaterAlloc</v>
      </c>
      <c r="B33" s="4">
        <f>lue!M34</f>
        <v>0</v>
      </c>
      <c r="C33" s="4">
        <f>pcraster!M34</f>
        <v>0</v>
      </c>
      <c r="D33" s="4">
        <f t="shared" si="0"/>
        <v>0</v>
      </c>
      <c r="E33" s="5">
        <f t="shared" si="1"/>
        <v>0</v>
      </c>
    </row>
    <row r="34" spans="1:5" x14ac:dyDescent="0.25">
      <c r="A34" t="str">
        <f>lue!F35</f>
        <v>landSurfaceRunoff</v>
      </c>
      <c r="B34" s="4">
        <f>lue!M35</f>
        <v>20294.47</v>
      </c>
      <c r="C34" s="4">
        <f>pcraster!M35</f>
        <v>20294.61</v>
      </c>
      <c r="D34" s="4">
        <f t="shared" si="0"/>
        <v>-0.13999999999941792</v>
      </c>
      <c r="E34" s="5">
        <f t="shared" si="1"/>
        <v>-6.898383363829998E-6</v>
      </c>
    </row>
    <row r="35" spans="1:5" x14ac:dyDescent="0.25">
      <c r="A35" t="str">
        <f>lue!F36</f>
        <v>satExcess</v>
      </c>
      <c r="B35" s="4">
        <f>lue!M36</f>
        <v>0.49726910000000002</v>
      </c>
      <c r="C35" s="4">
        <f>pcraster!M36</f>
        <v>0.49727009999999999</v>
      </c>
      <c r="D35" s="4">
        <f t="shared" si="0"/>
        <v>-9.9999999997324451E-7</v>
      </c>
      <c r="E35" s="5">
        <f t="shared" si="1"/>
        <v>-2.0109795460721338E-6</v>
      </c>
    </row>
    <row r="36" spans="1:5" x14ac:dyDescent="0.25">
      <c r="A36" t="str">
        <f>lue!F37</f>
        <v>snowMelt</v>
      </c>
      <c r="B36" s="4">
        <f>lue!M37</f>
        <v>6392.3119999999999</v>
      </c>
      <c r="C36" s="4">
        <f>pcraster!M37</f>
        <v>6392.317</v>
      </c>
      <c r="D36" s="4">
        <f t="shared" si="0"/>
        <v>-5.0000000001091394E-3</v>
      </c>
      <c r="E36" s="5">
        <f t="shared" si="1"/>
        <v>-7.8218899346029601E-7</v>
      </c>
    </row>
    <row r="37" spans="1:5" x14ac:dyDescent="0.25">
      <c r="A37" t="str">
        <f>lue!F38</f>
        <v>totalGroundwaterAbstraction</v>
      </c>
      <c r="B37" s="4">
        <f>lue!M38</f>
        <v>0</v>
      </c>
      <c r="C37" s="4">
        <f>pcraster!M38</f>
        <v>0</v>
      </c>
      <c r="D37" s="4">
        <f t="shared" si="0"/>
        <v>0</v>
      </c>
      <c r="E37" s="5">
        <f t="shared" si="1"/>
        <v>0</v>
      </c>
    </row>
    <row r="38" spans="1:5" x14ac:dyDescent="0.25">
      <c r="A38" t="str">
        <f>lue!F39</f>
        <v>totalGroundwaterAllocation</v>
      </c>
      <c r="B38" s="4">
        <f>lue!M39</f>
        <v>0</v>
      </c>
      <c r="C38" s="4">
        <f>pcraster!M39</f>
        <v>0</v>
      </c>
      <c r="D38" s="4">
        <f t="shared" si="0"/>
        <v>0</v>
      </c>
      <c r="E38" s="5">
        <f t="shared" si="1"/>
        <v>0</v>
      </c>
    </row>
    <row r="39" spans="1:5" x14ac:dyDescent="0.25">
      <c r="A39" t="str">
        <f>lue!F40</f>
        <v>totalPotentialMaximumGrossDemand</v>
      </c>
      <c r="B39" s="4">
        <f>lue!M40</f>
        <v>0</v>
      </c>
      <c r="C39" s="4">
        <f>pcraster!M40</f>
        <v>0</v>
      </c>
      <c r="D39" s="4">
        <f t="shared" si="0"/>
        <v>0</v>
      </c>
      <c r="E39" s="5">
        <f t="shared" si="1"/>
        <v>0</v>
      </c>
    </row>
    <row r="40" spans="1:5" x14ac:dyDescent="0.25">
      <c r="A40" t="str">
        <f>lue!F41</f>
        <v>totalPotentialMaximumIrrGrossDemand</v>
      </c>
      <c r="B40" s="4">
        <f>lue!M41</f>
        <v>0</v>
      </c>
      <c r="C40" s="4">
        <f>pcraster!M41</f>
        <v>0</v>
      </c>
      <c r="D40" s="4">
        <f t="shared" si="0"/>
        <v>0</v>
      </c>
      <c r="E40" s="5">
        <f t="shared" si="1"/>
        <v>0</v>
      </c>
    </row>
    <row r="41" spans="1:5" x14ac:dyDescent="0.25">
      <c r="A41" t="str">
        <f>lue!F42</f>
        <v>totalPotentialMaximumIrrGrossDemandPaddy</v>
      </c>
      <c r="B41" s="4">
        <f>lue!M42</f>
        <v>0</v>
      </c>
      <c r="C41" s="4">
        <f>pcraster!M42</f>
        <v>0</v>
      </c>
      <c r="D41" s="4">
        <f t="shared" si="0"/>
        <v>0</v>
      </c>
      <c r="E41" s="5">
        <f t="shared" si="1"/>
        <v>0</v>
      </c>
    </row>
    <row r="42" spans="1:5" x14ac:dyDescent="0.25">
      <c r="A42" t="str">
        <f>lue!F43</f>
        <v>totalPotentialMaximumIrrGrossDemandNonPaddy</v>
      </c>
      <c r="B42" s="4">
        <f>lue!M43</f>
        <v>0</v>
      </c>
      <c r="C42" s="4">
        <f>pcraster!M43</f>
        <v>0</v>
      </c>
      <c r="D42" s="4">
        <f t="shared" si="0"/>
        <v>0</v>
      </c>
      <c r="E42" s="5">
        <f t="shared" si="1"/>
        <v>0</v>
      </c>
    </row>
    <row r="43" spans="1:5" x14ac:dyDescent="0.25">
      <c r="A43" t="str">
        <f>lue!F44</f>
        <v>totalPotentialMaximumNonIrrGrossDemand</v>
      </c>
      <c r="B43" s="4">
        <f>lue!M44</f>
        <v>0</v>
      </c>
      <c r="C43" s="4">
        <f>pcraster!M44</f>
        <v>0</v>
      </c>
      <c r="D43" s="4">
        <f t="shared" si="0"/>
        <v>0</v>
      </c>
      <c r="E43" s="5">
        <f t="shared" si="1"/>
        <v>0</v>
      </c>
    </row>
    <row r="44" spans="1:5" x14ac:dyDescent="0.25">
      <c r="A44" t="str">
        <f>lue!F45</f>
        <v>irrGrossDemandPaddy</v>
      </c>
      <c r="B44" s="4">
        <f>lue!M45</f>
        <v>0</v>
      </c>
      <c r="C44" s="4">
        <f>pcraster!M45</f>
        <v>0</v>
      </c>
      <c r="D44" s="4">
        <f t="shared" si="0"/>
        <v>0</v>
      </c>
      <c r="E44" s="5">
        <f t="shared" si="1"/>
        <v>0</v>
      </c>
    </row>
    <row r="45" spans="1:5" x14ac:dyDescent="0.25">
      <c r="A45" t="str">
        <f>lue!F46</f>
        <v>irrGrossDemandNonPaddy</v>
      </c>
      <c r="B45" s="4">
        <f>lue!M46</f>
        <v>0</v>
      </c>
      <c r="C45" s="4">
        <f>pcraster!M46</f>
        <v>0</v>
      </c>
      <c r="D45" s="4">
        <f t="shared" si="0"/>
        <v>0</v>
      </c>
      <c r="E45" s="5">
        <f t="shared" si="1"/>
        <v>0</v>
      </c>
    </row>
    <row r="46" spans="1:5" x14ac:dyDescent="0.25">
      <c r="A46" t="str">
        <f>lue!F47</f>
        <v>domesticWaterWithdrawal</v>
      </c>
      <c r="B46" s="4">
        <f>lue!M47</f>
        <v>0</v>
      </c>
      <c r="C46" s="4">
        <f>pcraster!M47</f>
        <v>0</v>
      </c>
      <c r="D46" s="4">
        <f t="shared" si="0"/>
        <v>0</v>
      </c>
      <c r="E46" s="5">
        <f t="shared" si="1"/>
        <v>0</v>
      </c>
    </row>
    <row r="47" spans="1:5" x14ac:dyDescent="0.25">
      <c r="A47" t="str">
        <f>lue!F48</f>
        <v>industryWaterWithdrawal</v>
      </c>
      <c r="B47" s="4">
        <f>lue!M48</f>
        <v>0</v>
      </c>
      <c r="C47" s="4">
        <f>pcraster!M48</f>
        <v>0</v>
      </c>
      <c r="D47" s="4">
        <f t="shared" si="0"/>
        <v>0</v>
      </c>
      <c r="E47" s="5">
        <f t="shared" si="1"/>
        <v>0</v>
      </c>
    </row>
    <row r="48" spans="1:5" x14ac:dyDescent="0.25">
      <c r="A48" t="str">
        <f>lue!F49</f>
        <v>livestockWaterWithdrawal</v>
      </c>
      <c r="B48" s="4">
        <f>lue!M49</f>
        <v>0</v>
      </c>
      <c r="C48" s="4">
        <f>pcraster!M49</f>
        <v>0</v>
      </c>
      <c r="D48" s="4">
        <f t="shared" si="0"/>
        <v>0</v>
      </c>
      <c r="E48" s="5">
        <f t="shared" si="1"/>
        <v>0</v>
      </c>
    </row>
    <row r="49" spans="1:5" x14ac:dyDescent="0.25">
      <c r="A49" t="str">
        <f>lue!F50</f>
        <v>nonIrrReturnFlow</v>
      </c>
      <c r="B49" s="4">
        <f>lue!M50</f>
        <v>0</v>
      </c>
      <c r="C49" s="4">
        <f>pcraster!M50</f>
        <v>0</v>
      </c>
      <c r="D49" s="4">
        <f t="shared" si="0"/>
        <v>0</v>
      </c>
      <c r="E49" s="5">
        <f t="shared" si="1"/>
        <v>0</v>
      </c>
    </row>
    <row r="50" spans="1:5" x14ac:dyDescent="0.25">
      <c r="A50" t="str">
        <f>lue!F51</f>
        <v>irrigationTranspirationDeficit</v>
      </c>
      <c r="B50" s="4">
        <f>lue!M51</f>
        <v>0</v>
      </c>
      <c r="C50" s="4">
        <f>pcraster!M51</f>
        <v>0</v>
      </c>
      <c r="D50" s="4">
        <f t="shared" si="0"/>
        <v>0</v>
      </c>
      <c r="E50" s="5">
        <f t="shared" si="1"/>
        <v>0</v>
      </c>
    </row>
    <row r="51" spans="1:5" x14ac:dyDescent="0.25">
      <c r="A51" t="str">
        <f>lue!F52</f>
        <v>actTranspiUpp</v>
      </c>
      <c r="B51" s="4">
        <f>lue!M52</f>
        <v>18600.28</v>
      </c>
      <c r="C51" s="4">
        <f>pcraster!M52</f>
        <v>18600.36</v>
      </c>
      <c r="D51" s="4">
        <f t="shared" si="0"/>
        <v>-8.000000000174623E-2</v>
      </c>
      <c r="E51" s="5">
        <f t="shared" si="1"/>
        <v>-4.3009920239041733E-6</v>
      </c>
    </row>
    <row r="52" spans="1:5" x14ac:dyDescent="0.25">
      <c r="A52" t="str">
        <f>lue!F53</f>
        <v>actTranspiLow</v>
      </c>
      <c r="B52" s="4">
        <f>lue!M53</f>
        <v>17728.150000000001</v>
      </c>
      <c r="C52" s="4">
        <f>pcraster!M53</f>
        <v>17728.23</v>
      </c>
      <c r="D52" s="4">
        <f t="shared" si="0"/>
        <v>-7.9999999998108251E-2</v>
      </c>
      <c r="E52" s="5">
        <f t="shared" si="1"/>
        <v>-4.5125768335647862E-6</v>
      </c>
    </row>
    <row r="53" spans="1:5" x14ac:dyDescent="0.25">
      <c r="A53" t="str">
        <f>lue!F54</f>
        <v>netPercUpp</v>
      </c>
      <c r="B53" s="4">
        <f>lue!M54</f>
        <v>55765.57</v>
      </c>
      <c r="C53" s="4">
        <f>pcraster!M54</f>
        <v>55765.7</v>
      </c>
      <c r="D53" s="4">
        <f t="shared" si="0"/>
        <v>-0.12999999999738066</v>
      </c>
      <c r="E53" s="5">
        <f t="shared" si="1"/>
        <v>-2.3311820706524023E-6</v>
      </c>
    </row>
    <row r="54" spans="1:5" x14ac:dyDescent="0.25">
      <c r="A54" t="str">
        <f>lue!F55</f>
        <v>waterBalance</v>
      </c>
      <c r="B54" s="4">
        <f>lue!M55</f>
        <v>-5.8524329999999998E-3</v>
      </c>
      <c r="C54" s="4">
        <f>pcraster!M55</f>
        <v>-5.8523830000000001E-3</v>
      </c>
      <c r="D54" s="4">
        <f t="shared" si="0"/>
        <v>-4.999999999970306E-8</v>
      </c>
      <c r="E54" s="5">
        <f t="shared" si="1"/>
        <v>8.5435283370386148E-6</v>
      </c>
    </row>
    <row r="55" spans="1:5" x14ac:dyDescent="0.25">
      <c r="A55" t="str">
        <f>lue!F56</f>
        <v>absWaterBalance</v>
      </c>
      <c r="B55" s="4">
        <f>lue!M56</f>
        <v>4.6930459999999998</v>
      </c>
      <c r="C55" s="4">
        <f>pcraster!M56</f>
        <v>4.6930459999999998</v>
      </c>
      <c r="D55" s="4">
        <f t="shared" si="0"/>
        <v>0</v>
      </c>
      <c r="E55" s="5">
        <f t="shared" si="1"/>
        <v>0</v>
      </c>
    </row>
    <row r="56" spans="1:5" x14ac:dyDescent="0.25">
      <c r="A56" t="str">
        <f>lue!F57</f>
        <v>irrigationEvaporationWaterUse</v>
      </c>
      <c r="B56" s="4">
        <f>lue!M57</f>
        <v>0</v>
      </c>
      <c r="C56" s="4">
        <f>pcraster!M57</f>
        <v>0</v>
      </c>
      <c r="D56" s="4">
        <f t="shared" si="0"/>
        <v>0</v>
      </c>
      <c r="E56" s="5">
        <f t="shared" si="1"/>
        <v>0</v>
      </c>
    </row>
    <row r="57" spans="1:5" x14ac:dyDescent="0.25">
      <c r="A57" t="str">
        <f>lue!F58</f>
        <v>nonIrrigationWaterUse</v>
      </c>
      <c r="B57" s="4">
        <f>lue!M58</f>
        <v>0</v>
      </c>
      <c r="C57" s="4">
        <f>pcraster!M58</f>
        <v>0</v>
      </c>
      <c r="D57" s="4">
        <f t="shared" si="0"/>
        <v>0</v>
      </c>
      <c r="E57" s="5">
        <f t="shared" si="1"/>
        <v>0</v>
      </c>
    </row>
    <row r="58" spans="1:5" x14ac:dyDescent="0.25">
      <c r="B58" s="4">
        <f>lue!M59</f>
        <v>0</v>
      </c>
      <c r="C58" s="4">
        <f>pcraster!M59</f>
        <v>0</v>
      </c>
      <c r="D58" s="4">
        <f t="shared" si="0"/>
        <v>0</v>
      </c>
      <c r="E58" s="5">
        <f t="shared" si="1"/>
        <v>0</v>
      </c>
    </row>
    <row r="59" spans="1:5" x14ac:dyDescent="0.25">
      <c r="B59" s="4"/>
      <c r="C59" s="4"/>
      <c r="D59" s="4"/>
    </row>
    <row r="60" spans="1:5" x14ac:dyDescent="0.25">
      <c r="B60" s="4"/>
      <c r="C60" s="4"/>
      <c r="D60" s="4"/>
    </row>
    <row r="61" spans="1:5" x14ac:dyDescent="0.25">
      <c r="A61" t="str">
        <f>lue!F62</f>
        <v>waterBodyEvaporation</v>
      </c>
      <c r="B61" s="4">
        <f>lue!M62</f>
        <v>100.5488</v>
      </c>
      <c r="C61" s="4">
        <f>pcraster!M62</f>
        <v>33.303319999999999</v>
      </c>
      <c r="D61" s="4">
        <f t="shared" si="0"/>
        <v>67.245480000000001</v>
      </c>
      <c r="E61" s="5">
        <f t="shared" si="1"/>
        <v>2.0191824718976967</v>
      </c>
    </row>
    <row r="62" spans="1:5" x14ac:dyDescent="0.25">
      <c r="A62" t="str">
        <f>lue!F63</f>
        <v>surfaceWaterInput</v>
      </c>
      <c r="B62" s="4">
        <f>lue!M63</f>
        <v>48853.84</v>
      </c>
      <c r="C62" s="4">
        <f>pcraster!M63</f>
        <v>48921.11</v>
      </c>
      <c r="D62" s="4">
        <f t="shared" si="0"/>
        <v>-67.270000000004075</v>
      </c>
      <c r="E62" s="5">
        <f t="shared" si="1"/>
        <v>-1.3750710071787839E-3</v>
      </c>
    </row>
    <row r="63" spans="1:5" x14ac:dyDescent="0.25">
      <c r="A63" t="str">
        <f>lue!F64</f>
        <v>dischargeAtPitTotal</v>
      </c>
      <c r="B63" s="4">
        <f>lue!M64</f>
        <v>1.2741359999999999E-41</v>
      </c>
      <c r="C63" s="4">
        <f>pcraster!M64</f>
        <v>52622.13</v>
      </c>
      <c r="D63" s="4">
        <f t="shared" si="0"/>
        <v>-52622.13</v>
      </c>
      <c r="E63" s="5">
        <f t="shared" si="1"/>
        <v>-1</v>
      </c>
    </row>
    <row r="64" spans="1:5" x14ac:dyDescent="0.25">
      <c r="A64" t="str">
        <f>lue!F65</f>
        <v>surfaceWaterBalance</v>
      </c>
      <c r="B64" s="4">
        <f>lue!M65</f>
        <v>0.86822089999999996</v>
      </c>
      <c r="C64" s="4">
        <f>pcraster!M65</f>
        <v>4.456448E-3</v>
      </c>
      <c r="D64" s="4">
        <f t="shared" si="0"/>
        <v>0.86376445199999996</v>
      </c>
      <c r="E64" s="5">
        <f t="shared" si="1"/>
        <v>193.82352312873391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lue</vt:lpstr>
      <vt:lpstr>pcraster</vt:lpstr>
      <vt:lpstr>Sheet3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Sutanudjaja, E.H. (Edwin)</dc:creator>
  <cp:lastModifiedBy>Sutanudjaja, E.H. (Edwin)</cp:lastModifiedBy>
  <dcterms:created xsi:type="dcterms:W3CDTF">2025-01-27T10:40:48Z</dcterms:created>
  <dcterms:modified xsi:type="dcterms:W3CDTF">2025-01-27T11:12:57Z</dcterms:modified>
</cp:coreProperties>
</file>